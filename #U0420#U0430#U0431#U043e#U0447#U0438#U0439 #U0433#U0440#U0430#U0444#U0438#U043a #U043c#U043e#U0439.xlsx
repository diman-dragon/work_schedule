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14488\OneDrive\Desktop\"/>
    </mc:Choice>
  </mc:AlternateContent>
  <xr:revisionPtr revIDLastSave="0" documentId="13_ncr:1_{0DADB4F1-BA7D-41A5-8068-1EC5D945BE08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Июль" sheetId="7" r:id="rId1"/>
    <sheet name="Август" sheetId="8" r:id="rId2"/>
    <sheet name="Сентябрь" sheetId="13" r:id="rId3"/>
    <sheet name="Октябрь" sheetId="14" r:id="rId4"/>
    <sheet name="Ноябрь" sheetId="15" r:id="rId5"/>
    <sheet name="Декабрь" sheetId="16" r:id="rId6"/>
    <sheet name="Июль 26" sheetId="1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6" i="17" l="1"/>
  <c r="F16" i="17" s="1"/>
  <c r="E17" i="17"/>
  <c r="F17" i="17" s="1"/>
  <c r="E18" i="17"/>
  <c r="F18" i="17" s="1"/>
  <c r="E19" i="17"/>
  <c r="F19" i="17"/>
  <c r="G19" i="17"/>
  <c r="E20" i="17"/>
  <c r="F20" i="17" s="1"/>
  <c r="E21" i="17"/>
  <c r="F21" i="17" s="1"/>
  <c r="E22" i="17"/>
  <c r="F22" i="17" s="1"/>
  <c r="E23" i="17"/>
  <c r="F23" i="17" s="1"/>
  <c r="E24" i="17"/>
  <c r="F24" i="17" s="1"/>
  <c r="E25" i="17"/>
  <c r="F25" i="17" s="1"/>
  <c r="E26" i="17"/>
  <c r="G26" i="17" s="1"/>
  <c r="E27" i="17"/>
  <c r="F27" i="17" s="1"/>
  <c r="E28" i="17"/>
  <c r="F28" i="17" s="1"/>
  <c r="E29" i="17"/>
  <c r="F29" i="17" s="1"/>
  <c r="E30" i="17"/>
  <c r="F30" i="17" s="1"/>
  <c r="E31" i="17"/>
  <c r="F31" i="17"/>
  <c r="G31" i="17"/>
  <c r="E32" i="17"/>
  <c r="F32" i="17" s="1"/>
  <c r="E33" i="17"/>
  <c r="F33" i="17" s="1"/>
  <c r="E34" i="17"/>
  <c r="F34" i="17" s="1"/>
  <c r="E35" i="17"/>
  <c r="F35" i="17" s="1"/>
  <c r="E36" i="17"/>
  <c r="F36" i="17" s="1"/>
  <c r="G36" i="17"/>
  <c r="E37" i="17"/>
  <c r="F37" i="17" s="1"/>
  <c r="E38" i="17"/>
  <c r="F38" i="17" s="1"/>
  <c r="G38" i="17"/>
  <c r="E15" i="17"/>
  <c r="G15" i="17" s="1"/>
  <c r="E39" i="14"/>
  <c r="G39" i="14"/>
  <c r="E38" i="14"/>
  <c r="F38" i="14"/>
  <c r="G38" i="14"/>
  <c r="F38" i="16"/>
  <c r="E37" i="16"/>
  <c r="G37" i="16" s="1"/>
  <c r="E36" i="16"/>
  <c r="G36" i="16" s="1"/>
  <c r="G35" i="16"/>
  <c r="F35" i="16"/>
  <c r="E35" i="16"/>
  <c r="E34" i="16"/>
  <c r="G34" i="16" s="1"/>
  <c r="E33" i="16"/>
  <c r="F33" i="16" s="1"/>
  <c r="E32" i="16"/>
  <c r="F32" i="16" s="1"/>
  <c r="G31" i="16"/>
  <c r="F31" i="16"/>
  <c r="E31" i="16"/>
  <c r="E30" i="16"/>
  <c r="G30" i="16" s="1"/>
  <c r="E29" i="16"/>
  <c r="G29" i="16" s="1"/>
  <c r="E28" i="16"/>
  <c r="G28" i="16" s="1"/>
  <c r="G27" i="16"/>
  <c r="F27" i="16"/>
  <c r="E27" i="16"/>
  <c r="E26" i="16"/>
  <c r="G26" i="16" s="1"/>
  <c r="E25" i="16"/>
  <c r="F25" i="16" s="1"/>
  <c r="E24" i="16"/>
  <c r="F24" i="16" s="1"/>
  <c r="G23" i="16"/>
  <c r="F23" i="16"/>
  <c r="E23" i="16"/>
  <c r="E22" i="16"/>
  <c r="G22" i="16" s="1"/>
  <c r="E21" i="16"/>
  <c r="G21" i="16" s="1"/>
  <c r="E20" i="16"/>
  <c r="G20" i="16" s="1"/>
  <c r="G19" i="16"/>
  <c r="F19" i="16"/>
  <c r="E19" i="16"/>
  <c r="E18" i="16"/>
  <c r="G18" i="16" s="1"/>
  <c r="E17" i="16"/>
  <c r="G17" i="16" s="1"/>
  <c r="E16" i="16"/>
  <c r="G16" i="16" s="1"/>
  <c r="G15" i="16"/>
  <c r="F15" i="16"/>
  <c r="E15" i="16"/>
  <c r="E14" i="16"/>
  <c r="G14" i="16" s="1"/>
  <c r="E13" i="16"/>
  <c r="G13" i="16" s="1"/>
  <c r="E12" i="16"/>
  <c r="G12" i="16" s="1"/>
  <c r="E11" i="16"/>
  <c r="G11" i="16" s="1"/>
  <c r="E10" i="16"/>
  <c r="G10" i="16" s="1"/>
  <c r="E9" i="16"/>
  <c r="F9" i="16" s="1"/>
  <c r="E8" i="16"/>
  <c r="G8" i="16" s="1"/>
  <c r="E37" i="15"/>
  <c r="G37" i="15" s="1"/>
  <c r="E36" i="15"/>
  <c r="G36" i="15" s="1"/>
  <c r="E35" i="15"/>
  <c r="G35" i="15" s="1"/>
  <c r="E34" i="15"/>
  <c r="G34" i="15" s="1"/>
  <c r="E33" i="15"/>
  <c r="G33" i="15" s="1"/>
  <c r="E32" i="15"/>
  <c r="G32" i="15" s="1"/>
  <c r="E31" i="15"/>
  <c r="G31" i="15" s="1"/>
  <c r="E30" i="15"/>
  <c r="G30" i="15" s="1"/>
  <c r="E29" i="15"/>
  <c r="G29" i="15" s="1"/>
  <c r="E28" i="15"/>
  <c r="G28" i="15" s="1"/>
  <c r="E27" i="15"/>
  <c r="G27" i="15" s="1"/>
  <c r="E26" i="15"/>
  <c r="G26" i="15" s="1"/>
  <c r="E25" i="15"/>
  <c r="G25" i="15" s="1"/>
  <c r="E24" i="15"/>
  <c r="G24" i="15" s="1"/>
  <c r="E23" i="15"/>
  <c r="G23" i="15" s="1"/>
  <c r="E22" i="15"/>
  <c r="G22" i="15" s="1"/>
  <c r="E21" i="15"/>
  <c r="G21" i="15" s="1"/>
  <c r="E20" i="15"/>
  <c r="G20" i="15" s="1"/>
  <c r="E19" i="15"/>
  <c r="G19" i="15" s="1"/>
  <c r="E18" i="15"/>
  <c r="G18" i="15" s="1"/>
  <c r="E17" i="15"/>
  <c r="G17" i="15" s="1"/>
  <c r="E16" i="15"/>
  <c r="G16" i="15" s="1"/>
  <c r="E15" i="15"/>
  <c r="G15" i="15" s="1"/>
  <c r="E14" i="15"/>
  <c r="G14" i="15" s="1"/>
  <c r="E13" i="15"/>
  <c r="G13" i="15" s="1"/>
  <c r="E12" i="15"/>
  <c r="G12" i="15" s="1"/>
  <c r="E11" i="15"/>
  <c r="G11" i="15" s="1"/>
  <c r="E10" i="15"/>
  <c r="G10" i="15" s="1"/>
  <c r="E9" i="15"/>
  <c r="G9" i="15" s="1"/>
  <c r="E8" i="15"/>
  <c r="E37" i="14"/>
  <c r="F37" i="14" s="1"/>
  <c r="E36" i="14"/>
  <c r="G36" i="14" s="1"/>
  <c r="E35" i="14"/>
  <c r="G35" i="14" s="1"/>
  <c r="E34" i="14"/>
  <c r="G34" i="14" s="1"/>
  <c r="E33" i="14"/>
  <c r="G33" i="14" s="1"/>
  <c r="E32" i="14"/>
  <c r="F32" i="14" s="1"/>
  <c r="E31" i="14"/>
  <c r="F31" i="14" s="1"/>
  <c r="E30" i="14"/>
  <c r="G30" i="14" s="1"/>
  <c r="E29" i="14"/>
  <c r="G29" i="14" s="1"/>
  <c r="E28" i="14"/>
  <c r="G28" i="14" s="1"/>
  <c r="E27" i="14"/>
  <c r="G27" i="14" s="1"/>
  <c r="E26" i="14"/>
  <c r="G26" i="14" s="1"/>
  <c r="E25" i="14"/>
  <c r="F25" i="14" s="1"/>
  <c r="E24" i="14"/>
  <c r="G24" i="14" s="1"/>
  <c r="E23" i="14"/>
  <c r="F23" i="14" s="1"/>
  <c r="E22" i="14"/>
  <c r="G22" i="14" s="1"/>
  <c r="E21" i="14"/>
  <c r="F21" i="14" s="1"/>
  <c r="E20" i="14"/>
  <c r="G20" i="14" s="1"/>
  <c r="E19" i="14"/>
  <c r="F19" i="14" s="1"/>
  <c r="E18" i="14"/>
  <c r="G18" i="14" s="1"/>
  <c r="E17" i="14"/>
  <c r="F17" i="14" s="1"/>
  <c r="E16" i="14"/>
  <c r="F16" i="14" s="1"/>
  <c r="E15" i="14"/>
  <c r="F15" i="14" s="1"/>
  <c r="E14" i="14"/>
  <c r="G14" i="14" s="1"/>
  <c r="E13" i="14"/>
  <c r="G13" i="14" s="1"/>
  <c r="E12" i="14"/>
  <c r="G12" i="14" s="1"/>
  <c r="G11" i="14"/>
  <c r="F11" i="14"/>
  <c r="E11" i="14"/>
  <c r="E10" i="14"/>
  <c r="G10" i="14" s="1"/>
  <c r="E9" i="14"/>
  <c r="G9" i="14" s="1"/>
  <c r="E8" i="14"/>
  <c r="F8" i="14" s="1"/>
  <c r="E37" i="13"/>
  <c r="G37" i="13" s="1"/>
  <c r="E36" i="13"/>
  <c r="F36" i="13" s="1"/>
  <c r="E35" i="13"/>
  <c r="G35" i="13" s="1"/>
  <c r="E34" i="13"/>
  <c r="G34" i="13" s="1"/>
  <c r="E33" i="13"/>
  <c r="G33" i="13" s="1"/>
  <c r="E32" i="13"/>
  <c r="G32" i="13" s="1"/>
  <c r="E31" i="13"/>
  <c r="F31" i="13" s="1"/>
  <c r="E30" i="13"/>
  <c r="G30" i="13" s="1"/>
  <c r="E29" i="13"/>
  <c r="G29" i="13" s="1"/>
  <c r="E28" i="13"/>
  <c r="G28" i="13" s="1"/>
  <c r="E27" i="13"/>
  <c r="G27" i="13" s="1"/>
  <c r="E26" i="13"/>
  <c r="G26" i="13" s="1"/>
  <c r="E25" i="13"/>
  <c r="G25" i="13" s="1"/>
  <c r="E24" i="13"/>
  <c r="G24" i="13" s="1"/>
  <c r="E23" i="13"/>
  <c r="F23" i="13" s="1"/>
  <c r="E22" i="13"/>
  <c r="G22" i="13" s="1"/>
  <c r="E21" i="13"/>
  <c r="G21" i="13" s="1"/>
  <c r="E20" i="13"/>
  <c r="G20" i="13" s="1"/>
  <c r="E19" i="13"/>
  <c r="G19" i="13" s="1"/>
  <c r="E18" i="13"/>
  <c r="G18" i="13" s="1"/>
  <c r="E17" i="13"/>
  <c r="G17" i="13" s="1"/>
  <c r="E16" i="13"/>
  <c r="G16" i="13" s="1"/>
  <c r="E15" i="13"/>
  <c r="G15" i="13" s="1"/>
  <c r="E14" i="13"/>
  <c r="F14" i="13" s="1"/>
  <c r="E13" i="13"/>
  <c r="G13" i="13" s="1"/>
  <c r="E12" i="13"/>
  <c r="G12" i="13" s="1"/>
  <c r="E11" i="13"/>
  <c r="G11" i="13" s="1"/>
  <c r="E10" i="13"/>
  <c r="E9" i="13"/>
  <c r="G9" i="13" s="1"/>
  <c r="E8" i="13"/>
  <c r="G8" i="13" s="1"/>
  <c r="F38" i="13"/>
  <c r="E41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9" i="8"/>
  <c r="F10" i="8"/>
  <c r="F11" i="8"/>
  <c r="F16" i="8"/>
  <c r="F39" i="8"/>
  <c r="E38" i="8"/>
  <c r="G38" i="8" s="1"/>
  <c r="E37" i="8"/>
  <c r="G37" i="8" s="1"/>
  <c r="E36" i="8"/>
  <c r="G36" i="8" s="1"/>
  <c r="E35" i="8"/>
  <c r="G35" i="8" s="1"/>
  <c r="E34" i="8"/>
  <c r="G34" i="8" s="1"/>
  <c r="E33" i="8"/>
  <c r="G33" i="8" s="1"/>
  <c r="E32" i="8"/>
  <c r="G32" i="8" s="1"/>
  <c r="E31" i="8"/>
  <c r="G31" i="8" s="1"/>
  <c r="E30" i="8"/>
  <c r="G30" i="8" s="1"/>
  <c r="E29" i="8"/>
  <c r="G29" i="8" s="1"/>
  <c r="E28" i="8"/>
  <c r="G28" i="8" s="1"/>
  <c r="E27" i="8"/>
  <c r="G27" i="8" s="1"/>
  <c r="E26" i="8"/>
  <c r="G26" i="8" s="1"/>
  <c r="E25" i="8"/>
  <c r="G25" i="8" s="1"/>
  <c r="E24" i="8"/>
  <c r="G24" i="8" s="1"/>
  <c r="E23" i="8"/>
  <c r="G23" i="8" s="1"/>
  <c r="E22" i="8"/>
  <c r="G22" i="8" s="1"/>
  <c r="E21" i="8"/>
  <c r="G21" i="8" s="1"/>
  <c r="E20" i="8"/>
  <c r="G20" i="8" s="1"/>
  <c r="E19" i="8"/>
  <c r="G19" i="8" s="1"/>
  <c r="E18" i="8"/>
  <c r="G18" i="8" s="1"/>
  <c r="E17" i="8"/>
  <c r="G17" i="8" s="1"/>
  <c r="E16" i="8"/>
  <c r="G16" i="8" s="1"/>
  <c r="E15" i="8"/>
  <c r="G15" i="8" s="1"/>
  <c r="E14" i="8"/>
  <c r="G14" i="8" s="1"/>
  <c r="E13" i="8"/>
  <c r="G13" i="8" s="1"/>
  <c r="E12" i="8"/>
  <c r="G12" i="8" s="1"/>
  <c r="E11" i="8"/>
  <c r="G11" i="8" s="1"/>
  <c r="E10" i="8"/>
  <c r="G10" i="8" s="1"/>
  <c r="E9" i="8"/>
  <c r="G9" i="8" s="1"/>
  <c r="E38" i="7"/>
  <c r="G38" i="7" s="1"/>
  <c r="E37" i="7"/>
  <c r="G37" i="7" s="1"/>
  <c r="E36" i="7"/>
  <c r="G36" i="7" s="1"/>
  <c r="E35" i="7"/>
  <c r="G35" i="7" s="1"/>
  <c r="E34" i="7"/>
  <c r="G34" i="7" s="1"/>
  <c r="E33" i="7"/>
  <c r="G33" i="7" s="1"/>
  <c r="E32" i="7"/>
  <c r="G32" i="7" s="1"/>
  <c r="E31" i="7"/>
  <c r="G31" i="7" s="1"/>
  <c r="E30" i="7"/>
  <c r="G30" i="7" s="1"/>
  <c r="E29" i="7"/>
  <c r="G29" i="7" s="1"/>
  <c r="E28" i="7"/>
  <c r="G28" i="7" s="1"/>
  <c r="E27" i="7"/>
  <c r="G27" i="7" s="1"/>
  <c r="E26" i="7"/>
  <c r="G26" i="7" s="1"/>
  <c r="E25" i="7"/>
  <c r="G25" i="7" s="1"/>
  <c r="E24" i="7"/>
  <c r="G24" i="7" s="1"/>
  <c r="E23" i="7"/>
  <c r="G23" i="7" s="1"/>
  <c r="E22" i="7"/>
  <c r="G22" i="7" s="1"/>
  <c r="E21" i="7"/>
  <c r="G21" i="7" s="1"/>
  <c r="E20" i="7"/>
  <c r="G20" i="7" s="1"/>
  <c r="E19" i="7"/>
  <c r="G19" i="7" s="1"/>
  <c r="E18" i="7"/>
  <c r="G18" i="7" s="1"/>
  <c r="E17" i="7"/>
  <c r="G17" i="7" s="1"/>
  <c r="E16" i="7"/>
  <c r="G16" i="7" s="1"/>
  <c r="E15" i="7"/>
  <c r="G15" i="7" s="1"/>
  <c r="E14" i="7"/>
  <c r="G14" i="7" s="1"/>
  <c r="E13" i="7"/>
  <c r="G13" i="7" s="1"/>
  <c r="E12" i="7"/>
  <c r="G12" i="7" s="1"/>
  <c r="E11" i="7"/>
  <c r="G11" i="7" s="1"/>
  <c r="E10" i="7"/>
  <c r="G10" i="7" s="1"/>
  <c r="G9" i="7"/>
  <c r="E8" i="7"/>
  <c r="G8" i="7" s="1"/>
  <c r="G22" i="17" l="1"/>
  <c r="G34" i="17"/>
  <c r="G27" i="17"/>
  <c r="G32" i="17"/>
  <c r="G35" i="17"/>
  <c r="F26" i="17"/>
  <c r="G24" i="17"/>
  <c r="G23" i="17"/>
  <c r="G28" i="17"/>
  <c r="G20" i="17"/>
  <c r="G18" i="17"/>
  <c r="G16" i="17"/>
  <c r="G30" i="17"/>
  <c r="G37" i="17"/>
  <c r="G33" i="17"/>
  <c r="G29" i="17"/>
  <c r="G25" i="17"/>
  <c r="G21" i="17"/>
  <c r="G17" i="17"/>
  <c r="F15" i="17"/>
  <c r="E39" i="17"/>
  <c r="E40" i="17" s="1"/>
  <c r="F11" i="16"/>
  <c r="G15" i="14"/>
  <c r="E38" i="15"/>
  <c r="E39" i="15" s="1"/>
  <c r="F16" i="16"/>
  <c r="F36" i="16"/>
  <c r="F20" i="16"/>
  <c r="G32" i="16"/>
  <c r="G25" i="16"/>
  <c r="F12" i="16"/>
  <c r="G24" i="16"/>
  <c r="F17" i="16"/>
  <c r="F29" i="16"/>
  <c r="G33" i="16"/>
  <c r="F10" i="16"/>
  <c r="F14" i="16"/>
  <c r="F18" i="16"/>
  <c r="F22" i="16"/>
  <c r="F26" i="16"/>
  <c r="F30" i="16"/>
  <c r="F34" i="16"/>
  <c r="E39" i="16"/>
  <c r="E40" i="16" s="1"/>
  <c r="F28" i="16"/>
  <c r="F13" i="16"/>
  <c r="F21" i="16"/>
  <c r="F37" i="16"/>
  <c r="G9" i="16"/>
  <c r="G39" i="16" s="1"/>
  <c r="F8" i="16"/>
  <c r="F11" i="15"/>
  <c r="F15" i="15"/>
  <c r="F19" i="15"/>
  <c r="F23" i="15"/>
  <c r="F27" i="15"/>
  <c r="F31" i="15"/>
  <c r="F35" i="15"/>
  <c r="F8" i="15"/>
  <c r="F12" i="15"/>
  <c r="F16" i="15"/>
  <c r="F20" i="15"/>
  <c r="F24" i="15"/>
  <c r="F28" i="15"/>
  <c r="F32" i="15"/>
  <c r="F36" i="15"/>
  <c r="G8" i="15"/>
  <c r="G38" i="15" s="1"/>
  <c r="F9" i="15"/>
  <c r="F17" i="15"/>
  <c r="F21" i="15"/>
  <c r="F25" i="15"/>
  <c r="F29" i="15"/>
  <c r="F33" i="15"/>
  <c r="F37" i="15"/>
  <c r="F13" i="15"/>
  <c r="F10" i="15"/>
  <c r="F14" i="15"/>
  <c r="F18" i="15"/>
  <c r="F22" i="15"/>
  <c r="F26" i="15"/>
  <c r="F30" i="15"/>
  <c r="F34" i="15"/>
  <c r="G19" i="14"/>
  <c r="F35" i="14"/>
  <c r="F27" i="14"/>
  <c r="G31" i="14"/>
  <c r="G23" i="14"/>
  <c r="E39" i="13"/>
  <c r="E40" i="13" s="1"/>
  <c r="F24" i="14"/>
  <c r="F20" i="14"/>
  <c r="F36" i="14"/>
  <c r="G32" i="14"/>
  <c r="F13" i="14"/>
  <c r="F33" i="14"/>
  <c r="G17" i="14"/>
  <c r="G25" i="14"/>
  <c r="G37" i="14"/>
  <c r="F10" i="14"/>
  <c r="F14" i="14"/>
  <c r="F18" i="14"/>
  <c r="F22" i="14"/>
  <c r="F26" i="14"/>
  <c r="F30" i="14"/>
  <c r="F34" i="14"/>
  <c r="E40" i="14"/>
  <c r="F12" i="14"/>
  <c r="G8" i="14"/>
  <c r="G16" i="14"/>
  <c r="F9" i="14"/>
  <c r="G21" i="14"/>
  <c r="F28" i="14"/>
  <c r="F29" i="14"/>
  <c r="F10" i="13"/>
  <c r="F18" i="13"/>
  <c r="F26" i="13"/>
  <c r="F34" i="13"/>
  <c r="G14" i="13"/>
  <c r="F11" i="13"/>
  <c r="F19" i="13"/>
  <c r="F27" i="13"/>
  <c r="F35" i="13"/>
  <c r="G23" i="13"/>
  <c r="G31" i="13"/>
  <c r="F8" i="13"/>
  <c r="F16" i="13"/>
  <c r="F24" i="13"/>
  <c r="F32" i="13"/>
  <c r="G36" i="13"/>
  <c r="F22" i="13"/>
  <c r="F30" i="13"/>
  <c r="G10" i="13"/>
  <c r="F15" i="13"/>
  <c r="F12" i="13"/>
  <c r="F20" i="13"/>
  <c r="F28" i="13"/>
  <c r="F9" i="13"/>
  <c r="F13" i="13"/>
  <c r="F17" i="13"/>
  <c r="F21" i="13"/>
  <c r="F25" i="13"/>
  <c r="F29" i="13"/>
  <c r="F33" i="13"/>
  <c r="F37" i="13"/>
  <c r="F35" i="8"/>
  <c r="F37" i="8"/>
  <c r="F36" i="8"/>
  <c r="F30" i="8"/>
  <c r="F29" i="8"/>
  <c r="F23" i="8"/>
  <c r="F38" i="8"/>
  <c r="F33" i="8"/>
  <c r="F32" i="8"/>
  <c r="F34" i="8"/>
  <c r="F31" i="8"/>
  <c r="F26" i="8"/>
  <c r="F25" i="8"/>
  <c r="F28" i="8"/>
  <c r="F27" i="8"/>
  <c r="F24" i="8"/>
  <c r="F22" i="8"/>
  <c r="F20" i="8"/>
  <c r="F21" i="8"/>
  <c r="F19" i="8"/>
  <c r="F18" i="8"/>
  <c r="F17" i="8"/>
  <c r="F15" i="8"/>
  <c r="F13" i="8"/>
  <c r="F14" i="8"/>
  <c r="F12" i="8"/>
  <c r="E40" i="7"/>
  <c r="G40" i="7"/>
  <c r="E8" i="8"/>
  <c r="G8" i="8" s="1"/>
  <c r="G40" i="8" s="1"/>
  <c r="G39" i="17" l="1"/>
  <c r="G39" i="13"/>
  <c r="E40" i="8"/>
  <c r="E41" i="8" s="1"/>
  <c r="F8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Dmitrii L</author>
  </authors>
  <commentList>
    <comment ref="G31" authorId="0" shapeId="0" xr:uid="{592B6EDC-318A-4BC5-81C1-B322CDF713A0}">
      <text>
        <r>
          <rPr>
            <b/>
            <sz val="9"/>
            <color indexed="81"/>
            <rFont val="Tahoma"/>
            <charset val="1"/>
          </rPr>
          <t>Dmitrii L:</t>
        </r>
        <r>
          <rPr>
            <sz val="9"/>
            <color indexed="81"/>
            <rFont val="Tahoma"/>
            <charset val="1"/>
          </rPr>
          <t xml:space="preserve">
Болел кишечным гриппом</t>
        </r>
      </text>
    </comment>
  </commentList>
</comments>
</file>

<file path=xl/sharedStrings.xml><?xml version="1.0" encoding="utf-8"?>
<sst xmlns="http://schemas.openxmlformats.org/spreadsheetml/2006/main" count="374" uniqueCount="82">
  <si>
    <t>Инструкция по использованию:</t>
  </si>
  <si>
    <t>1. Введите время начала работы в столбец "Время начала" (например, 22:00)</t>
  </si>
  <si>
    <t>2. Введите время окончания работы в столбец "Время окончания" (например, 6:00 для следующего дня)</t>
  </si>
  <si>
    <t>3. Отработанные минуты и сумма будут рассчитаны автоматически</t>
  </si>
  <si>
    <t>4. В конце каждого месяца отображается итоговая статистика</t>
  </si>
  <si>
    <t>Дата</t>
  </si>
  <si>
    <t>День недели</t>
  </si>
  <si>
    <t>Время начала</t>
  </si>
  <si>
    <t>Время окончания</t>
  </si>
  <si>
    <t>Отработанные минуты</t>
  </si>
  <si>
    <t>Сумма (руб.)</t>
  </si>
  <si>
    <t>Среда</t>
  </si>
  <si>
    <t>Четверг</t>
  </si>
  <si>
    <t>Пятница</t>
  </si>
  <si>
    <t>Суббота</t>
  </si>
  <si>
    <t>Воскресенье</t>
  </si>
  <si>
    <t>Понедельник</t>
  </si>
  <si>
    <t>Вторник</t>
  </si>
  <si>
    <t>ИТОГО:</t>
  </si>
  <si>
    <t>Часов:</t>
  </si>
  <si>
    <t>01.07.2025</t>
  </si>
  <si>
    <t>02.07.2025</t>
  </si>
  <si>
    <t>03.07.2025</t>
  </si>
  <si>
    <t>04.07.2025</t>
  </si>
  <si>
    <t>05.07.2025</t>
  </si>
  <si>
    <t>06.07.2025</t>
  </si>
  <si>
    <t>07.07.2025</t>
  </si>
  <si>
    <t>08.07.2025</t>
  </si>
  <si>
    <t>09.07.2025</t>
  </si>
  <si>
    <t>10.07.2025</t>
  </si>
  <si>
    <t>11.07.2025</t>
  </si>
  <si>
    <t>12.07.2025</t>
  </si>
  <si>
    <t>13.07.2025</t>
  </si>
  <si>
    <t>14.07.2025</t>
  </si>
  <si>
    <t>15.07.2025</t>
  </si>
  <si>
    <t>16.07.2025</t>
  </si>
  <si>
    <t>17.07.2025</t>
  </si>
  <si>
    <t>18.07.2025</t>
  </si>
  <si>
    <t>19.07.2025</t>
  </si>
  <si>
    <t>20.07.2025</t>
  </si>
  <si>
    <t>21.07.2025</t>
  </si>
  <si>
    <t>22.07.2025</t>
  </si>
  <si>
    <t>23.07.2025</t>
  </si>
  <si>
    <t>24.07.2025</t>
  </si>
  <si>
    <t>25.07.2025</t>
  </si>
  <si>
    <t>26.07.2025</t>
  </si>
  <si>
    <t>27.07.2025</t>
  </si>
  <si>
    <t>28.07.2025</t>
  </si>
  <si>
    <t>29.07.2025</t>
  </si>
  <si>
    <t>30.07.2025</t>
  </si>
  <si>
    <t>31.07.2025</t>
  </si>
  <si>
    <t>01.08.2025</t>
  </si>
  <si>
    <t>02.08.2025</t>
  </si>
  <si>
    <t>03.08.2025</t>
  </si>
  <si>
    <t>04.08.2025</t>
  </si>
  <si>
    <t>05.08.2025</t>
  </si>
  <si>
    <t>06.08.2025</t>
  </si>
  <si>
    <t>07.08.2025</t>
  </si>
  <si>
    <t>08.08.2025</t>
  </si>
  <si>
    <t>10.08.2025</t>
  </si>
  <si>
    <t>11.08.2025</t>
  </si>
  <si>
    <t>12.08.2025</t>
  </si>
  <si>
    <t>13.08.2025</t>
  </si>
  <si>
    <t>14.08.2025</t>
  </si>
  <si>
    <t>15.08.2025</t>
  </si>
  <si>
    <t>16.08.2025</t>
  </si>
  <si>
    <t>17.08.2025</t>
  </si>
  <si>
    <t>18.08.2025</t>
  </si>
  <si>
    <t>19.08.2025</t>
  </si>
  <si>
    <t>20.08.2025</t>
  </si>
  <si>
    <t>21.08.2025</t>
  </si>
  <si>
    <t>22.08.2025</t>
  </si>
  <si>
    <t>23.08.2025</t>
  </si>
  <si>
    <t>24.08.2025</t>
  </si>
  <si>
    <t>25.08.2025</t>
  </si>
  <si>
    <t>26.08.2025</t>
  </si>
  <si>
    <t>27.08.2025</t>
  </si>
  <si>
    <t>28.08.2025</t>
  </si>
  <si>
    <t>29.08.2025</t>
  </si>
  <si>
    <t>30.08.2025</t>
  </si>
  <si>
    <t>31.08.2025</t>
  </si>
  <si>
    <t>Отработанные часы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</si>
</sst>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8" x14ac:knownFonts="1">
    <font>
      <sz val="11"/>
      <color theme="1"/>
      <name val="Calibri"/>
      <family val="2"/>
      <scheme val="minor"/>
    </font>
    <font>
      <sz val="10"/>
      <name val="Calibri"/>
    </font>
    <font>
      <b/>
      <sz val="12"/>
      <name val="Calibri"/>
    </font>
    <font>
      <b/>
      <sz val="11"/>
      <name val="Calibri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E6E6FA"/>
        <bgColor rgb="FFE6E6FA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3" fillId="0" borderId="0" xfId="0" applyFont="1" applyAlignment="1">
      <alignment horizontal="right"/>
    </xf>
    <xf numFmtId="1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0" fillId="0" borderId="0" xfId="0"/>
    <xf numFmtId="20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20" fontId="0" fillId="3" borderId="1" xfId="0" applyNumberFormat="1" applyFill="1" applyBorder="1" applyAlignment="1">
      <alignment horizontal="center"/>
    </xf>
    <xf numFmtId="2" fontId="3" fillId="0" borderId="0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0" borderId="0" xfId="0"/>
    <xf numFmtId="14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20" fontId="0" fillId="0" borderId="1" xfId="0" applyNumberFormat="1" applyFill="1" applyBorder="1" applyAlignment="1">
      <alignment horizontal="center"/>
    </xf>
    <xf numFmtId="1" fontId="0" fillId="0" borderId="1" xfId="0" applyNumberFormat="1" applyFill="1" applyBorder="1" applyAlignment="1">
      <alignment horizontal="center"/>
    </xf>
    <xf numFmtId="164" fontId="0" fillId="0" borderId="1" xfId="0" applyNumberFormat="1" applyFill="1" applyBorder="1" applyAlignment="1">
      <alignment horizontal="center"/>
    </xf>
    <xf numFmtId="2" fontId="0" fillId="0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Fill="1"/>
    <xf numFmtId="1" fontId="3" fillId="0" borderId="4" xfId="0" applyNumberFormat="1" applyFont="1" applyBorder="1" applyAlignment="1">
      <alignment horizontal="center"/>
    </xf>
    <xf numFmtId="164" fontId="4" fillId="0" borderId="5" xfId="0" applyNumberFormat="1" applyFont="1" applyBorder="1" applyAlignment="1">
      <alignment horizontal="center"/>
    </xf>
    <xf numFmtId="2" fontId="3" fillId="0" borderId="6" xfId="0" applyNumberFormat="1" applyFont="1" applyBorder="1" applyAlignment="1">
      <alignment horizontal="center"/>
    </xf>
    <xf numFmtId="2" fontId="3" fillId="0" borderId="2" xfId="0" applyNumberFormat="1" applyFont="1" applyBorder="1" applyAlignment="1">
      <alignment horizontal="center"/>
    </xf>
    <xf numFmtId="0" fontId="0" fillId="0" borderId="0" xfId="0"/>
    <xf numFmtId="0" fontId="0" fillId="0" borderId="0" xfId="0"/>
    <xf numFmtId="0" fontId="0" fillId="3" borderId="1" xfId="0" applyFill="1" applyBorder="1"/>
    <xf numFmtId="0" fontId="0" fillId="3" borderId="3" xfId="0" applyFill="1" applyBorder="1"/>
    <xf numFmtId="164" fontId="0" fillId="3" borderId="3" xfId="0" applyNumberFormat="1" applyFill="1" applyBorder="1" applyAlignment="1">
      <alignment horizontal="center"/>
    </xf>
    <xf numFmtId="20" fontId="0" fillId="4" borderId="1" xfId="0" applyNumberFormat="1" applyFill="1" applyBorder="1" applyAlignment="1">
      <alignment horizontal="center"/>
    </xf>
    <xf numFmtId="0" fontId="0" fillId="4" borderId="1" xfId="0" applyFill="1" applyBorder="1"/>
    <xf numFmtId="0" fontId="1" fillId="0" borderId="0" xfId="0" applyFont="1" applyAlignment="1">
      <alignment horizontal="left"/>
    </xf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1"/>
  <sheetViews>
    <sheetView workbookViewId="0">
      <pane ySplit="7" topLeftCell="A26" activePane="bottomLeft" state="frozen"/>
      <selection pane="bottomLeft" activeCell="E41" sqref="E41"/>
    </sheetView>
  </sheetViews>
  <sheetFormatPr defaultRowHeight="14.4" x14ac:dyDescent="0.3"/>
  <cols>
    <col min="1" max="1" width="12" customWidth="1"/>
    <col min="2" max="2" width="15" customWidth="1"/>
    <col min="3" max="3" width="25.88671875" customWidth="1"/>
    <col min="4" max="4" width="27.33203125" customWidth="1"/>
    <col min="5" max="5" width="33.33203125" customWidth="1"/>
    <col min="6" max="6" width="30.109375" style="8" customWidth="1"/>
    <col min="7" max="7" width="16.33203125" customWidth="1"/>
  </cols>
  <sheetData>
    <row r="1" spans="1:7" x14ac:dyDescent="0.3">
      <c r="A1" s="39" t="s">
        <v>0</v>
      </c>
      <c r="B1" s="40"/>
      <c r="C1" s="40"/>
      <c r="D1" s="40"/>
      <c r="E1" s="40"/>
      <c r="F1" s="40"/>
      <c r="G1" s="40"/>
    </row>
    <row r="2" spans="1:7" x14ac:dyDescent="0.3">
      <c r="A2" s="39" t="s">
        <v>1</v>
      </c>
      <c r="B2" s="40"/>
      <c r="C2" s="40"/>
      <c r="D2" s="40"/>
      <c r="E2" s="40"/>
      <c r="F2" s="40"/>
      <c r="G2" s="40"/>
    </row>
    <row r="3" spans="1:7" x14ac:dyDescent="0.3">
      <c r="A3" s="39" t="s">
        <v>2</v>
      </c>
      <c r="B3" s="40"/>
      <c r="C3" s="40"/>
      <c r="D3" s="40"/>
      <c r="E3" s="40"/>
      <c r="F3" s="40"/>
      <c r="G3" s="40"/>
    </row>
    <row r="4" spans="1:7" x14ac:dyDescent="0.3">
      <c r="A4" s="39" t="s">
        <v>3</v>
      </c>
      <c r="B4" s="40"/>
      <c r="C4" s="40"/>
      <c r="D4" s="40"/>
      <c r="E4" s="40"/>
      <c r="F4" s="40"/>
      <c r="G4" s="40"/>
    </row>
    <row r="5" spans="1:7" x14ac:dyDescent="0.3">
      <c r="A5" s="39" t="s">
        <v>4</v>
      </c>
      <c r="B5" s="40"/>
      <c r="C5" s="40"/>
      <c r="D5" s="40"/>
      <c r="E5" s="40"/>
      <c r="F5" s="40"/>
      <c r="G5" s="40"/>
    </row>
    <row r="7" spans="1:7" ht="15.6" x14ac:dyDescent="0.3">
      <c r="A7" s="1" t="s">
        <v>5</v>
      </c>
      <c r="B7" s="1" t="s">
        <v>6</v>
      </c>
      <c r="C7" s="1" t="s">
        <v>7</v>
      </c>
      <c r="D7" s="1" t="s">
        <v>8</v>
      </c>
      <c r="E7" s="1" t="s">
        <v>9</v>
      </c>
      <c r="F7" s="1" t="s">
        <v>81</v>
      </c>
      <c r="G7" s="1" t="s">
        <v>10</v>
      </c>
    </row>
    <row r="8" spans="1:7" x14ac:dyDescent="0.3">
      <c r="A8" s="2" t="s">
        <v>20</v>
      </c>
      <c r="B8" s="2" t="s">
        <v>17</v>
      </c>
      <c r="C8" s="9">
        <v>0.57152777777777775</v>
      </c>
      <c r="D8" s="9">
        <v>0.94027777777777777</v>
      </c>
      <c r="E8" s="3">
        <f t="shared" ref="E8:E38" si="0">IF(AND(C8&lt;&gt;"",D8&lt;&gt;""),IF(D8&gt;=C8,(D8-C8)*24*60,(D8-C8+1)*24*60),"")</f>
        <v>531.00000000000011</v>
      </c>
      <c r="F8" s="15">
        <f>IF(E8="", "", E8/1440)</f>
        <v>0.36875000000000008</v>
      </c>
      <c r="G8" s="4">
        <f t="shared" ref="G8:G38" si="1">IF(E8&lt;&gt;"",E8*11.6667,"")</f>
        <v>6195.0177000000012</v>
      </c>
    </row>
    <row r="9" spans="1:7" x14ac:dyDescent="0.3">
      <c r="A9" s="10" t="s">
        <v>21</v>
      </c>
      <c r="B9" s="10" t="s">
        <v>11</v>
      </c>
      <c r="C9" s="13"/>
      <c r="D9" s="13"/>
      <c r="E9" s="11"/>
      <c r="F9" s="16" t="str">
        <f t="shared" ref="F9:F39" si="2">IF(E9="", "", E9/1440)</f>
        <v/>
      </c>
      <c r="G9" s="12" t="str">
        <f t="shared" si="1"/>
        <v/>
      </c>
    </row>
    <row r="10" spans="1:7" x14ac:dyDescent="0.3">
      <c r="A10" s="2" t="s">
        <v>22</v>
      </c>
      <c r="B10" s="2" t="s">
        <v>12</v>
      </c>
      <c r="C10" s="9">
        <v>0.57152777777777775</v>
      </c>
      <c r="D10" s="9">
        <v>0.94027777777777777</v>
      </c>
      <c r="E10" s="3">
        <f t="shared" si="0"/>
        <v>531.00000000000011</v>
      </c>
      <c r="F10" s="15">
        <f t="shared" si="2"/>
        <v>0.36875000000000008</v>
      </c>
      <c r="G10" s="4">
        <f t="shared" si="1"/>
        <v>6195.0177000000012</v>
      </c>
    </row>
    <row r="11" spans="1:7" x14ac:dyDescent="0.3">
      <c r="A11" s="2" t="s">
        <v>23</v>
      </c>
      <c r="B11" s="2" t="s">
        <v>13</v>
      </c>
      <c r="C11" s="9">
        <v>0.57152777777777775</v>
      </c>
      <c r="D11" s="9">
        <v>0.94027777777777777</v>
      </c>
      <c r="E11" s="3">
        <f t="shared" si="0"/>
        <v>531.00000000000011</v>
      </c>
      <c r="F11" s="15">
        <f t="shared" si="2"/>
        <v>0.36875000000000008</v>
      </c>
      <c r="G11" s="4">
        <f t="shared" si="1"/>
        <v>6195.0177000000012</v>
      </c>
    </row>
    <row r="12" spans="1:7" x14ac:dyDescent="0.3">
      <c r="A12" s="10" t="s">
        <v>24</v>
      </c>
      <c r="B12" s="10" t="s">
        <v>14</v>
      </c>
      <c r="C12" s="10"/>
      <c r="D12" s="10"/>
      <c r="E12" s="11" t="str">
        <f t="shared" si="0"/>
        <v/>
      </c>
      <c r="F12" s="16" t="str">
        <f t="shared" si="2"/>
        <v/>
      </c>
      <c r="G12" s="12" t="str">
        <f t="shared" si="1"/>
        <v/>
      </c>
    </row>
    <row r="13" spans="1:7" x14ac:dyDescent="0.3">
      <c r="A13" s="2" t="s">
        <v>25</v>
      </c>
      <c r="B13" s="2" t="s">
        <v>15</v>
      </c>
      <c r="C13" s="9">
        <v>0.4909722222222222</v>
      </c>
      <c r="D13" s="9">
        <v>0.80138888888888893</v>
      </c>
      <c r="E13" s="3">
        <f t="shared" si="0"/>
        <v>447.00000000000006</v>
      </c>
      <c r="F13" s="15">
        <f t="shared" si="2"/>
        <v>0.31041666666666673</v>
      </c>
      <c r="G13" s="4">
        <f t="shared" si="1"/>
        <v>5215.014900000001</v>
      </c>
    </row>
    <row r="14" spans="1:7" x14ac:dyDescent="0.3">
      <c r="A14" s="10" t="s">
        <v>26</v>
      </c>
      <c r="B14" s="10" t="s">
        <v>16</v>
      </c>
      <c r="C14" s="10"/>
      <c r="D14" s="10"/>
      <c r="E14" s="11" t="str">
        <f t="shared" si="0"/>
        <v/>
      </c>
      <c r="F14" s="16" t="str">
        <f t="shared" si="2"/>
        <v/>
      </c>
      <c r="G14" s="12" t="str">
        <f t="shared" si="1"/>
        <v/>
      </c>
    </row>
    <row r="15" spans="1:7" x14ac:dyDescent="0.3">
      <c r="A15" s="10" t="s">
        <v>27</v>
      </c>
      <c r="B15" s="10" t="s">
        <v>17</v>
      </c>
      <c r="C15" s="10"/>
      <c r="D15" s="10"/>
      <c r="E15" s="11" t="str">
        <f t="shared" si="0"/>
        <v/>
      </c>
      <c r="F15" s="16" t="str">
        <f t="shared" si="2"/>
        <v/>
      </c>
      <c r="G15" s="12" t="str">
        <f t="shared" si="1"/>
        <v/>
      </c>
    </row>
    <row r="16" spans="1:7" x14ac:dyDescent="0.3">
      <c r="A16" s="10" t="s">
        <v>28</v>
      </c>
      <c r="B16" s="10" t="s">
        <v>11</v>
      </c>
      <c r="C16" s="10"/>
      <c r="D16" s="10"/>
      <c r="E16" s="11" t="str">
        <f t="shared" si="0"/>
        <v/>
      </c>
      <c r="F16" s="16" t="str">
        <f t="shared" si="2"/>
        <v/>
      </c>
      <c r="G16" s="12" t="str">
        <f t="shared" si="1"/>
        <v/>
      </c>
    </row>
    <row r="17" spans="1:7" x14ac:dyDescent="0.3">
      <c r="A17" s="10" t="s">
        <v>29</v>
      </c>
      <c r="B17" s="10" t="s">
        <v>12</v>
      </c>
      <c r="C17" s="10"/>
      <c r="D17" s="10"/>
      <c r="E17" s="11" t="str">
        <f t="shared" si="0"/>
        <v/>
      </c>
      <c r="F17" s="16" t="str">
        <f t="shared" si="2"/>
        <v/>
      </c>
      <c r="G17" s="12" t="str">
        <f t="shared" si="1"/>
        <v/>
      </c>
    </row>
    <row r="18" spans="1:7" x14ac:dyDescent="0.3">
      <c r="A18" s="10" t="s">
        <v>30</v>
      </c>
      <c r="B18" s="10" t="s">
        <v>13</v>
      </c>
      <c r="C18" s="10"/>
      <c r="D18" s="10"/>
      <c r="E18" s="11" t="str">
        <f t="shared" si="0"/>
        <v/>
      </c>
      <c r="F18" s="16" t="str">
        <f t="shared" si="2"/>
        <v/>
      </c>
      <c r="G18" s="12" t="str">
        <f t="shared" si="1"/>
        <v/>
      </c>
    </row>
    <row r="19" spans="1:7" x14ac:dyDescent="0.3">
      <c r="A19" s="10" t="s">
        <v>31</v>
      </c>
      <c r="B19" s="10" t="s">
        <v>14</v>
      </c>
      <c r="C19" s="10"/>
      <c r="D19" s="10"/>
      <c r="E19" s="11" t="str">
        <f t="shared" si="0"/>
        <v/>
      </c>
      <c r="F19" s="16" t="str">
        <f t="shared" si="2"/>
        <v/>
      </c>
      <c r="G19" s="12" t="str">
        <f t="shared" si="1"/>
        <v/>
      </c>
    </row>
    <row r="20" spans="1:7" x14ac:dyDescent="0.3">
      <c r="A20" s="10" t="s">
        <v>32</v>
      </c>
      <c r="B20" s="10" t="s">
        <v>15</v>
      </c>
      <c r="C20" s="10"/>
      <c r="D20" s="10"/>
      <c r="E20" s="11" t="str">
        <f t="shared" si="0"/>
        <v/>
      </c>
      <c r="F20" s="16" t="str">
        <f t="shared" si="2"/>
        <v/>
      </c>
      <c r="G20" s="12" t="str">
        <f t="shared" si="1"/>
        <v/>
      </c>
    </row>
    <row r="21" spans="1:7" x14ac:dyDescent="0.3">
      <c r="A21" s="10" t="s">
        <v>33</v>
      </c>
      <c r="B21" s="10" t="s">
        <v>16</v>
      </c>
      <c r="C21" s="10"/>
      <c r="D21" s="10"/>
      <c r="E21" s="11" t="str">
        <f t="shared" si="0"/>
        <v/>
      </c>
      <c r="F21" s="16" t="str">
        <f t="shared" si="2"/>
        <v/>
      </c>
      <c r="G21" s="12" t="str">
        <f t="shared" si="1"/>
        <v/>
      </c>
    </row>
    <row r="22" spans="1:7" x14ac:dyDescent="0.3">
      <c r="A22" s="10" t="s">
        <v>34</v>
      </c>
      <c r="B22" s="10" t="s">
        <v>17</v>
      </c>
      <c r="C22" s="10"/>
      <c r="D22" s="10"/>
      <c r="E22" s="11" t="str">
        <f t="shared" si="0"/>
        <v/>
      </c>
      <c r="F22" s="16" t="str">
        <f t="shared" si="2"/>
        <v/>
      </c>
      <c r="G22" s="12" t="str">
        <f t="shared" si="1"/>
        <v/>
      </c>
    </row>
    <row r="23" spans="1:7" x14ac:dyDescent="0.3">
      <c r="A23" s="10" t="s">
        <v>35</v>
      </c>
      <c r="B23" s="10" t="s">
        <v>11</v>
      </c>
      <c r="C23" s="10"/>
      <c r="D23" s="10"/>
      <c r="E23" s="11" t="str">
        <f t="shared" si="0"/>
        <v/>
      </c>
      <c r="F23" s="16" t="str">
        <f t="shared" si="2"/>
        <v/>
      </c>
      <c r="G23" s="12" t="str">
        <f t="shared" si="1"/>
        <v/>
      </c>
    </row>
    <row r="24" spans="1:7" x14ac:dyDescent="0.3">
      <c r="A24" s="10" t="s">
        <v>36</v>
      </c>
      <c r="B24" s="10" t="s">
        <v>12</v>
      </c>
      <c r="C24" s="10"/>
      <c r="D24" s="10"/>
      <c r="E24" s="11" t="str">
        <f t="shared" si="0"/>
        <v/>
      </c>
      <c r="F24" s="16" t="str">
        <f t="shared" si="2"/>
        <v/>
      </c>
      <c r="G24" s="12" t="str">
        <f t="shared" si="1"/>
        <v/>
      </c>
    </row>
    <row r="25" spans="1:7" x14ac:dyDescent="0.3">
      <c r="A25" s="10" t="s">
        <v>37</v>
      </c>
      <c r="B25" s="10" t="s">
        <v>13</v>
      </c>
      <c r="C25" s="10"/>
      <c r="D25" s="10"/>
      <c r="E25" s="11" t="str">
        <f t="shared" si="0"/>
        <v/>
      </c>
      <c r="F25" s="16" t="str">
        <f t="shared" si="2"/>
        <v/>
      </c>
      <c r="G25" s="12" t="str">
        <f t="shared" si="1"/>
        <v/>
      </c>
    </row>
    <row r="26" spans="1:7" x14ac:dyDescent="0.3">
      <c r="A26" s="10" t="s">
        <v>38</v>
      </c>
      <c r="B26" s="10" t="s">
        <v>14</v>
      </c>
      <c r="C26" s="10"/>
      <c r="D26" s="10"/>
      <c r="E26" s="11" t="str">
        <f t="shared" si="0"/>
        <v/>
      </c>
      <c r="F26" s="16" t="str">
        <f t="shared" si="2"/>
        <v/>
      </c>
      <c r="G26" s="12" t="str">
        <f t="shared" si="1"/>
        <v/>
      </c>
    </row>
    <row r="27" spans="1:7" x14ac:dyDescent="0.3">
      <c r="A27" s="10" t="s">
        <v>39</v>
      </c>
      <c r="B27" s="10" t="s">
        <v>15</v>
      </c>
      <c r="C27" s="10"/>
      <c r="D27" s="10"/>
      <c r="E27" s="11" t="str">
        <f t="shared" si="0"/>
        <v/>
      </c>
      <c r="F27" s="16" t="str">
        <f t="shared" si="2"/>
        <v/>
      </c>
      <c r="G27" s="12" t="str">
        <f t="shared" si="1"/>
        <v/>
      </c>
    </row>
    <row r="28" spans="1:7" x14ac:dyDescent="0.3">
      <c r="A28" s="10" t="s">
        <v>40</v>
      </c>
      <c r="B28" s="10" t="s">
        <v>16</v>
      </c>
      <c r="C28" s="10"/>
      <c r="D28" s="10"/>
      <c r="E28" s="11" t="str">
        <f t="shared" si="0"/>
        <v/>
      </c>
      <c r="F28" s="16" t="str">
        <f t="shared" si="2"/>
        <v/>
      </c>
      <c r="G28" s="12" t="str">
        <f t="shared" si="1"/>
        <v/>
      </c>
    </row>
    <row r="29" spans="1:7" x14ac:dyDescent="0.3">
      <c r="A29" s="2" t="s">
        <v>41</v>
      </c>
      <c r="B29" s="2" t="s">
        <v>17</v>
      </c>
      <c r="C29" s="9">
        <v>0.62777777777777777</v>
      </c>
      <c r="D29" s="9">
        <v>0.97152777777777777</v>
      </c>
      <c r="E29" s="3">
        <f t="shared" si="0"/>
        <v>495</v>
      </c>
      <c r="F29" s="15">
        <f t="shared" si="2"/>
        <v>0.34375</v>
      </c>
      <c r="G29" s="4">
        <f t="shared" si="1"/>
        <v>5775.0165000000006</v>
      </c>
    </row>
    <row r="30" spans="1:7" x14ac:dyDescent="0.3">
      <c r="A30" s="2" t="s">
        <v>42</v>
      </c>
      <c r="B30" s="2" t="s">
        <v>11</v>
      </c>
      <c r="C30" s="9">
        <v>0.73819444444444438</v>
      </c>
      <c r="D30" s="9">
        <v>0.98819444444444438</v>
      </c>
      <c r="E30" s="3">
        <f t="shared" si="0"/>
        <v>360</v>
      </c>
      <c r="F30" s="15">
        <f t="shared" si="2"/>
        <v>0.25</v>
      </c>
      <c r="G30" s="4">
        <f t="shared" si="1"/>
        <v>4200.0120000000006</v>
      </c>
    </row>
    <row r="31" spans="1:7" x14ac:dyDescent="0.3">
      <c r="A31" s="2" t="s">
        <v>43</v>
      </c>
      <c r="B31" s="2" t="s">
        <v>12</v>
      </c>
      <c r="C31" s="9">
        <v>0.73819444444444438</v>
      </c>
      <c r="D31" s="9">
        <v>0.98819444444444438</v>
      </c>
      <c r="E31" s="3">
        <f t="shared" si="0"/>
        <v>360</v>
      </c>
      <c r="F31" s="15">
        <f t="shared" si="2"/>
        <v>0.25</v>
      </c>
      <c r="G31" s="4">
        <f t="shared" si="1"/>
        <v>4200.0120000000006</v>
      </c>
    </row>
    <row r="32" spans="1:7" x14ac:dyDescent="0.3">
      <c r="A32" s="2" t="s">
        <v>44</v>
      </c>
      <c r="B32" s="2" t="s">
        <v>13</v>
      </c>
      <c r="C32" s="9">
        <v>0.73819444444444438</v>
      </c>
      <c r="D32" s="9">
        <v>0.98819444444444438</v>
      </c>
      <c r="E32" s="3">
        <f t="shared" si="0"/>
        <v>360</v>
      </c>
      <c r="F32" s="15">
        <f t="shared" si="2"/>
        <v>0.25</v>
      </c>
      <c r="G32" s="4">
        <f t="shared" si="1"/>
        <v>4200.0120000000006</v>
      </c>
    </row>
    <row r="33" spans="1:7" x14ac:dyDescent="0.3">
      <c r="A33" s="10" t="s">
        <v>45</v>
      </c>
      <c r="B33" s="10" t="s">
        <v>14</v>
      </c>
      <c r="C33" s="10"/>
      <c r="D33" s="10"/>
      <c r="E33" s="11" t="str">
        <f t="shared" si="0"/>
        <v/>
      </c>
      <c r="F33" s="16" t="str">
        <f t="shared" si="2"/>
        <v/>
      </c>
      <c r="G33" s="12" t="str">
        <f t="shared" si="1"/>
        <v/>
      </c>
    </row>
    <row r="34" spans="1:7" x14ac:dyDescent="0.3">
      <c r="A34" s="2" t="s">
        <v>46</v>
      </c>
      <c r="B34" s="2" t="s">
        <v>15</v>
      </c>
      <c r="C34" s="9">
        <v>0.60416666666666663</v>
      </c>
      <c r="D34" s="9">
        <v>0.92083333333333339</v>
      </c>
      <c r="E34" s="3">
        <f t="shared" si="0"/>
        <v>456.00000000000011</v>
      </c>
      <c r="F34" s="15">
        <f t="shared" si="2"/>
        <v>0.31666666666666676</v>
      </c>
      <c r="G34" s="4">
        <f t="shared" si="1"/>
        <v>5320.0152000000016</v>
      </c>
    </row>
    <row r="35" spans="1:7" x14ac:dyDescent="0.3">
      <c r="A35" s="2" t="s">
        <v>47</v>
      </c>
      <c r="B35" s="2" t="s">
        <v>16</v>
      </c>
      <c r="C35" s="9">
        <v>0.6333333333333333</v>
      </c>
      <c r="D35" s="9">
        <v>1.5972222222222224E-2</v>
      </c>
      <c r="E35" s="3">
        <f t="shared" si="0"/>
        <v>551.00000000000011</v>
      </c>
      <c r="F35" s="15">
        <f t="shared" si="2"/>
        <v>0.38263888888888897</v>
      </c>
      <c r="G35" s="4">
        <f t="shared" si="1"/>
        <v>6428.351700000002</v>
      </c>
    </row>
    <row r="36" spans="1:7" x14ac:dyDescent="0.3">
      <c r="A36" s="2" t="s">
        <v>48</v>
      </c>
      <c r="B36" s="2" t="s">
        <v>17</v>
      </c>
      <c r="C36" s="9">
        <v>0.6333333333333333</v>
      </c>
      <c r="D36" s="9">
        <v>1.5972222222222224E-2</v>
      </c>
      <c r="E36" s="3">
        <f t="shared" si="0"/>
        <v>551.00000000000011</v>
      </c>
      <c r="F36" s="15">
        <f t="shared" si="2"/>
        <v>0.38263888888888897</v>
      </c>
      <c r="G36" s="4">
        <f t="shared" si="1"/>
        <v>6428.351700000002</v>
      </c>
    </row>
    <row r="37" spans="1:7" x14ac:dyDescent="0.3">
      <c r="A37" s="2" t="s">
        <v>49</v>
      </c>
      <c r="B37" s="2" t="s">
        <v>11</v>
      </c>
      <c r="C37" s="9">
        <v>0.6333333333333333</v>
      </c>
      <c r="D37" s="9">
        <v>1.5972222222222224E-2</v>
      </c>
      <c r="E37" s="3">
        <f t="shared" si="0"/>
        <v>551.00000000000011</v>
      </c>
      <c r="F37" s="15">
        <f t="shared" si="2"/>
        <v>0.38263888888888897</v>
      </c>
      <c r="G37" s="4">
        <f t="shared" si="1"/>
        <v>6428.351700000002</v>
      </c>
    </row>
    <row r="38" spans="1:7" x14ac:dyDescent="0.3">
      <c r="A38" s="2" t="s">
        <v>50</v>
      </c>
      <c r="B38" s="2" t="s">
        <v>12</v>
      </c>
      <c r="C38" s="9">
        <v>0.6333333333333333</v>
      </c>
      <c r="D38" s="9">
        <v>1.5972222222222224E-2</v>
      </c>
      <c r="E38" s="3">
        <f t="shared" si="0"/>
        <v>551.00000000000011</v>
      </c>
      <c r="F38" s="15">
        <f t="shared" si="2"/>
        <v>0.38263888888888897</v>
      </c>
      <c r="G38" s="4">
        <f t="shared" si="1"/>
        <v>6428.351700000002</v>
      </c>
    </row>
    <row r="39" spans="1:7" x14ac:dyDescent="0.3">
      <c r="F39" s="15" t="str">
        <f t="shared" si="2"/>
        <v/>
      </c>
    </row>
    <row r="40" spans="1:7" x14ac:dyDescent="0.3">
      <c r="D40" s="5" t="s">
        <v>18</v>
      </c>
      <c r="E40" s="6">
        <f>SUM(E8:E38)</f>
        <v>6275.0000000000009</v>
      </c>
      <c r="F40" s="17"/>
      <c r="G40" s="7">
        <f>SUM(G8:G38)</f>
        <v>73208.54250000001</v>
      </c>
    </row>
    <row r="41" spans="1:7" x14ac:dyDescent="0.3">
      <c r="D41" s="5" t="s">
        <v>19</v>
      </c>
      <c r="E41" s="7">
        <f>E40/60</f>
        <v>104.58333333333334</v>
      </c>
      <c r="F41" s="14"/>
    </row>
  </sheetData>
  <mergeCells count="5">
    <mergeCell ref="A2:G2"/>
    <mergeCell ref="A1:G1"/>
    <mergeCell ref="A5:G5"/>
    <mergeCell ref="A4:G4"/>
    <mergeCell ref="A3:G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1"/>
  <sheetViews>
    <sheetView workbookViewId="0">
      <pane ySplit="7" topLeftCell="A26" activePane="bottomLeft" state="frozen"/>
      <selection pane="bottomLeft" activeCell="C38" sqref="C38:D38"/>
    </sheetView>
  </sheetViews>
  <sheetFormatPr defaultRowHeight="14.4" x14ac:dyDescent="0.3"/>
  <cols>
    <col min="1" max="1" width="12" customWidth="1"/>
    <col min="2" max="2" width="15" customWidth="1"/>
    <col min="3" max="3" width="19.5546875" customWidth="1"/>
    <col min="4" max="4" width="28.44140625" customWidth="1"/>
    <col min="5" max="5" width="30.109375" customWidth="1"/>
    <col min="6" max="6" width="30.109375" style="8" customWidth="1"/>
    <col min="7" max="7" width="19.88671875" customWidth="1"/>
  </cols>
  <sheetData>
    <row r="1" spans="1:7" x14ac:dyDescent="0.3">
      <c r="A1" s="39" t="s">
        <v>0</v>
      </c>
      <c r="B1" s="40"/>
      <c r="C1" s="40"/>
      <c r="D1" s="40"/>
      <c r="E1" s="40"/>
      <c r="F1" s="40"/>
      <c r="G1" s="40"/>
    </row>
    <row r="2" spans="1:7" x14ac:dyDescent="0.3">
      <c r="A2" s="39" t="s">
        <v>1</v>
      </c>
      <c r="B2" s="40"/>
      <c r="C2" s="40"/>
      <c r="D2" s="40"/>
      <c r="E2" s="40"/>
      <c r="F2" s="40"/>
      <c r="G2" s="40"/>
    </row>
    <row r="3" spans="1:7" x14ac:dyDescent="0.3">
      <c r="A3" s="39" t="s">
        <v>2</v>
      </c>
      <c r="B3" s="40"/>
      <c r="C3" s="40"/>
      <c r="D3" s="40"/>
      <c r="E3" s="40"/>
      <c r="F3" s="40"/>
      <c r="G3" s="40"/>
    </row>
    <row r="4" spans="1:7" x14ac:dyDescent="0.3">
      <c r="A4" s="39" t="s">
        <v>3</v>
      </c>
      <c r="B4" s="40"/>
      <c r="C4" s="40"/>
      <c r="D4" s="40"/>
      <c r="E4" s="40"/>
      <c r="F4" s="40"/>
      <c r="G4" s="40"/>
    </row>
    <row r="5" spans="1:7" x14ac:dyDescent="0.3">
      <c r="A5" s="39" t="s">
        <v>4</v>
      </c>
      <c r="B5" s="40"/>
      <c r="C5" s="40"/>
      <c r="D5" s="40"/>
      <c r="E5" s="40"/>
      <c r="F5" s="40"/>
      <c r="G5" s="40"/>
    </row>
    <row r="7" spans="1:7" ht="15.6" x14ac:dyDescent="0.3">
      <c r="A7" s="1" t="s">
        <v>5</v>
      </c>
      <c r="B7" s="1" t="s">
        <v>6</v>
      </c>
      <c r="C7" s="1" t="s">
        <v>7</v>
      </c>
      <c r="D7" s="1" t="s">
        <v>8</v>
      </c>
      <c r="E7" s="1" t="s">
        <v>9</v>
      </c>
      <c r="F7" s="1" t="s">
        <v>81</v>
      </c>
      <c r="G7" s="1" t="s">
        <v>10</v>
      </c>
    </row>
    <row r="8" spans="1:7" x14ac:dyDescent="0.3">
      <c r="A8" s="2" t="s">
        <v>51</v>
      </c>
      <c r="B8" s="2" t="s">
        <v>13</v>
      </c>
      <c r="C8" s="9">
        <v>0.6333333333333333</v>
      </c>
      <c r="D8" s="9">
        <v>1.5972222222222224E-2</v>
      </c>
      <c r="E8" s="3">
        <f t="shared" ref="E8:E38" si="0">IF(AND(C8&lt;&gt;"",D8&lt;&gt;""),IF(D8&gt;=C8,(D8-C8)*24*60,(D8-C8+1)*24*60),"")</f>
        <v>551.00000000000011</v>
      </c>
      <c r="F8" s="15">
        <f>IF(E8="", "", E8/1440)</f>
        <v>0.38263888888888897</v>
      </c>
      <c r="G8" s="4">
        <f t="shared" ref="G8:G38" si="1">IF(E8&lt;&gt;"",E8*11.6667,"")</f>
        <v>6428.351700000002</v>
      </c>
    </row>
    <row r="9" spans="1:7" x14ac:dyDescent="0.3">
      <c r="A9" s="10" t="s">
        <v>52</v>
      </c>
      <c r="B9" s="10" t="s">
        <v>14</v>
      </c>
      <c r="C9" s="10"/>
      <c r="D9" s="10"/>
      <c r="E9" s="11" t="str">
        <f t="shared" si="0"/>
        <v/>
      </c>
      <c r="F9" s="16" t="str">
        <f t="shared" ref="F9:F39" si="2">IF(E9="", "", E9/1440)</f>
        <v/>
      </c>
      <c r="G9" s="12" t="str">
        <f t="shared" si="1"/>
        <v/>
      </c>
    </row>
    <row r="10" spans="1:7" x14ac:dyDescent="0.3">
      <c r="A10" s="2" t="s">
        <v>53</v>
      </c>
      <c r="B10" s="2" t="s">
        <v>15</v>
      </c>
      <c r="C10" s="9">
        <v>0.60416666666666663</v>
      </c>
      <c r="D10" s="9">
        <v>0.92083333333333339</v>
      </c>
      <c r="E10" s="3">
        <f t="shared" si="0"/>
        <v>456.00000000000011</v>
      </c>
      <c r="F10" s="15">
        <f t="shared" si="2"/>
        <v>0.31666666666666676</v>
      </c>
      <c r="G10" s="4">
        <f t="shared" si="1"/>
        <v>5320.0152000000016</v>
      </c>
    </row>
    <row r="11" spans="1:7" x14ac:dyDescent="0.3">
      <c r="A11" s="2" t="s">
        <v>54</v>
      </c>
      <c r="B11" s="2" t="s">
        <v>16</v>
      </c>
      <c r="C11" s="9">
        <v>0.62777777777777777</v>
      </c>
      <c r="D11" s="9">
        <v>0.97152777777777777</v>
      </c>
      <c r="E11" s="3">
        <f t="shared" si="0"/>
        <v>495</v>
      </c>
      <c r="F11" s="15">
        <f t="shared" si="2"/>
        <v>0.34375</v>
      </c>
      <c r="G11" s="4">
        <f t="shared" si="1"/>
        <v>5775.0165000000006</v>
      </c>
    </row>
    <row r="12" spans="1:7" x14ac:dyDescent="0.3">
      <c r="A12" s="2" t="s">
        <v>55</v>
      </c>
      <c r="B12" s="2" t="s">
        <v>17</v>
      </c>
      <c r="C12" s="9">
        <v>0.62777777777777777</v>
      </c>
      <c r="D12" s="9">
        <v>0.97152777777777777</v>
      </c>
      <c r="E12" s="3">
        <f t="shared" si="0"/>
        <v>495</v>
      </c>
      <c r="F12" s="15">
        <f t="shared" si="2"/>
        <v>0.34375</v>
      </c>
      <c r="G12" s="4">
        <f t="shared" si="1"/>
        <v>5775.0165000000006</v>
      </c>
    </row>
    <row r="13" spans="1:7" x14ac:dyDescent="0.3">
      <c r="A13" s="2" t="s">
        <v>56</v>
      </c>
      <c r="B13" s="2" t="s">
        <v>11</v>
      </c>
      <c r="C13" s="9">
        <v>0.62777777777777777</v>
      </c>
      <c r="D13" s="9">
        <v>0.97152777777777777</v>
      </c>
      <c r="E13" s="3">
        <f t="shared" si="0"/>
        <v>495</v>
      </c>
      <c r="F13" s="15">
        <f t="shared" si="2"/>
        <v>0.34375</v>
      </c>
      <c r="G13" s="4">
        <f t="shared" si="1"/>
        <v>5775.0165000000006</v>
      </c>
    </row>
    <row r="14" spans="1:7" x14ac:dyDescent="0.3">
      <c r="A14" s="2" t="s">
        <v>57</v>
      </c>
      <c r="B14" s="2" t="s">
        <v>12</v>
      </c>
      <c r="C14" s="9">
        <v>0.62777777777777777</v>
      </c>
      <c r="D14" s="9">
        <v>0.97152777777777777</v>
      </c>
      <c r="E14" s="3">
        <f t="shared" si="0"/>
        <v>495</v>
      </c>
      <c r="F14" s="15">
        <f t="shared" si="2"/>
        <v>0.34375</v>
      </c>
      <c r="G14" s="4">
        <f t="shared" si="1"/>
        <v>5775.0165000000006</v>
      </c>
    </row>
    <row r="15" spans="1:7" x14ac:dyDescent="0.3">
      <c r="A15" s="2" t="s">
        <v>58</v>
      </c>
      <c r="B15" s="2" t="s">
        <v>13</v>
      </c>
      <c r="C15" s="9">
        <v>0.62777777777777777</v>
      </c>
      <c r="D15" s="9">
        <v>0.97152777777777777</v>
      </c>
      <c r="E15" s="3">
        <f t="shared" si="0"/>
        <v>495</v>
      </c>
      <c r="F15" s="15">
        <f t="shared" si="2"/>
        <v>0.34375</v>
      </c>
      <c r="G15" s="4">
        <f t="shared" si="1"/>
        <v>5775.0165000000006</v>
      </c>
    </row>
    <row r="16" spans="1:7" x14ac:dyDescent="0.3">
      <c r="A16" s="18">
        <v>45878</v>
      </c>
      <c r="B16" s="10" t="s">
        <v>14</v>
      </c>
      <c r="C16" s="13"/>
      <c r="D16" s="13"/>
      <c r="E16" s="11" t="str">
        <f t="shared" si="0"/>
        <v/>
      </c>
      <c r="F16" s="16" t="str">
        <f t="shared" si="2"/>
        <v/>
      </c>
      <c r="G16" s="12" t="str">
        <f t="shared" si="1"/>
        <v/>
      </c>
    </row>
    <row r="17" spans="1:7" x14ac:dyDescent="0.3">
      <c r="A17" s="2" t="s">
        <v>59</v>
      </c>
      <c r="B17" s="2" t="s">
        <v>15</v>
      </c>
      <c r="C17" s="9">
        <v>0.60416666666666663</v>
      </c>
      <c r="D17" s="9">
        <v>0.92083333333333339</v>
      </c>
      <c r="E17" s="3">
        <f t="shared" si="0"/>
        <v>456.00000000000011</v>
      </c>
      <c r="F17" s="15">
        <f t="shared" si="2"/>
        <v>0.31666666666666676</v>
      </c>
      <c r="G17" s="4">
        <f t="shared" si="1"/>
        <v>5320.0152000000016</v>
      </c>
    </row>
    <row r="18" spans="1:7" x14ac:dyDescent="0.3">
      <c r="A18" s="2" t="s">
        <v>60</v>
      </c>
      <c r="B18" s="2" t="s">
        <v>16</v>
      </c>
      <c r="C18" s="9">
        <v>0.5229166666666667</v>
      </c>
      <c r="D18" s="9">
        <v>0.84444444444444444</v>
      </c>
      <c r="E18" s="3">
        <f t="shared" si="0"/>
        <v>462.99999999999994</v>
      </c>
      <c r="F18" s="15">
        <f t="shared" si="2"/>
        <v>0.32152777777777775</v>
      </c>
      <c r="G18" s="4">
        <f t="shared" si="1"/>
        <v>5401.6821</v>
      </c>
    </row>
    <row r="19" spans="1:7" x14ac:dyDescent="0.3">
      <c r="A19" s="2" t="s">
        <v>61</v>
      </c>
      <c r="B19" s="2" t="s">
        <v>17</v>
      </c>
      <c r="C19" s="9">
        <v>0.5229166666666667</v>
      </c>
      <c r="D19" s="9">
        <v>0.84444444444444444</v>
      </c>
      <c r="E19" s="3">
        <f t="shared" si="0"/>
        <v>462.99999999999994</v>
      </c>
      <c r="F19" s="15">
        <f t="shared" si="2"/>
        <v>0.32152777777777775</v>
      </c>
      <c r="G19" s="4">
        <f t="shared" si="1"/>
        <v>5401.6821</v>
      </c>
    </row>
    <row r="20" spans="1:7" x14ac:dyDescent="0.3">
      <c r="A20" s="2" t="s">
        <v>62</v>
      </c>
      <c r="B20" s="2" t="s">
        <v>11</v>
      </c>
      <c r="C20" s="9">
        <v>0.5229166666666667</v>
      </c>
      <c r="D20" s="9">
        <v>0.84444444444444444</v>
      </c>
      <c r="E20" s="3">
        <f t="shared" si="0"/>
        <v>462.99999999999994</v>
      </c>
      <c r="F20" s="15">
        <f t="shared" si="2"/>
        <v>0.32152777777777775</v>
      </c>
      <c r="G20" s="4">
        <f t="shared" si="1"/>
        <v>5401.6821</v>
      </c>
    </row>
    <row r="21" spans="1:7" x14ac:dyDescent="0.3">
      <c r="A21" s="2" t="s">
        <v>63</v>
      </c>
      <c r="B21" s="2" t="s">
        <v>12</v>
      </c>
      <c r="C21" s="9">
        <v>0.5229166666666667</v>
      </c>
      <c r="D21" s="9">
        <v>0.84444444444444444</v>
      </c>
      <c r="E21" s="3">
        <f t="shared" si="0"/>
        <v>462.99999999999994</v>
      </c>
      <c r="F21" s="15">
        <f t="shared" si="2"/>
        <v>0.32152777777777775</v>
      </c>
      <c r="G21" s="4">
        <f t="shared" si="1"/>
        <v>5401.6821</v>
      </c>
    </row>
    <row r="22" spans="1:7" x14ac:dyDescent="0.3">
      <c r="A22" s="2" t="s">
        <v>64</v>
      </c>
      <c r="B22" s="2" t="s">
        <v>13</v>
      </c>
      <c r="C22" s="9">
        <v>0.5229166666666667</v>
      </c>
      <c r="D22" s="9">
        <v>0.84444444444444444</v>
      </c>
      <c r="E22" s="3">
        <f t="shared" si="0"/>
        <v>462.99999999999994</v>
      </c>
      <c r="F22" s="15">
        <f t="shared" si="2"/>
        <v>0.32152777777777775</v>
      </c>
      <c r="G22" s="4">
        <f t="shared" si="1"/>
        <v>5401.6821</v>
      </c>
    </row>
    <row r="23" spans="1:7" x14ac:dyDescent="0.3">
      <c r="A23" s="10" t="s">
        <v>65</v>
      </c>
      <c r="B23" s="10" t="s">
        <v>14</v>
      </c>
      <c r="C23" s="13"/>
      <c r="D23" s="13"/>
      <c r="E23" s="11" t="str">
        <f t="shared" si="0"/>
        <v/>
      </c>
      <c r="F23" s="16" t="str">
        <f t="shared" si="2"/>
        <v/>
      </c>
      <c r="G23" s="12" t="str">
        <f t="shared" si="1"/>
        <v/>
      </c>
    </row>
    <row r="24" spans="1:7" x14ac:dyDescent="0.3">
      <c r="A24" s="2" t="s">
        <v>66</v>
      </c>
      <c r="B24" s="2" t="s">
        <v>15</v>
      </c>
      <c r="C24" s="9">
        <v>0.60416666666666663</v>
      </c>
      <c r="D24" s="9">
        <v>0.92083333333333339</v>
      </c>
      <c r="E24" s="3">
        <f t="shared" si="0"/>
        <v>456.00000000000011</v>
      </c>
      <c r="F24" s="15">
        <f t="shared" si="2"/>
        <v>0.31666666666666676</v>
      </c>
      <c r="G24" s="4">
        <f t="shared" si="1"/>
        <v>5320.0152000000016</v>
      </c>
    </row>
    <row r="25" spans="1:7" x14ac:dyDescent="0.3">
      <c r="A25" s="2" t="s">
        <v>67</v>
      </c>
      <c r="B25" s="2" t="s">
        <v>16</v>
      </c>
      <c r="C25" s="9">
        <v>0.52847222222222223</v>
      </c>
      <c r="D25" s="9">
        <v>0.87986111111111109</v>
      </c>
      <c r="E25" s="3">
        <f t="shared" si="0"/>
        <v>506</v>
      </c>
      <c r="F25" s="15">
        <f t="shared" si="2"/>
        <v>0.35138888888888886</v>
      </c>
      <c r="G25" s="4">
        <f t="shared" si="1"/>
        <v>5903.3501999999999</v>
      </c>
    </row>
    <row r="26" spans="1:7" x14ac:dyDescent="0.3">
      <c r="A26" s="2" t="s">
        <v>68</v>
      </c>
      <c r="B26" s="2" t="s">
        <v>17</v>
      </c>
      <c r="C26" s="9">
        <v>0.52847222222222223</v>
      </c>
      <c r="D26" s="9">
        <v>0.87986111111111109</v>
      </c>
      <c r="E26" s="3">
        <f t="shared" si="0"/>
        <v>506</v>
      </c>
      <c r="F26" s="15">
        <f t="shared" si="2"/>
        <v>0.35138888888888886</v>
      </c>
      <c r="G26" s="4">
        <f t="shared" si="1"/>
        <v>5903.3501999999999</v>
      </c>
    </row>
    <row r="27" spans="1:7" x14ac:dyDescent="0.3">
      <c r="A27" s="2" t="s">
        <v>69</v>
      </c>
      <c r="B27" s="2" t="s">
        <v>11</v>
      </c>
      <c r="C27" s="9">
        <v>0.52847222222222223</v>
      </c>
      <c r="D27" s="9">
        <v>0.87986111111111109</v>
      </c>
      <c r="E27" s="3">
        <f t="shared" si="0"/>
        <v>506</v>
      </c>
      <c r="F27" s="15">
        <f t="shared" si="2"/>
        <v>0.35138888888888886</v>
      </c>
      <c r="G27" s="4">
        <f t="shared" si="1"/>
        <v>5903.3501999999999</v>
      </c>
    </row>
    <row r="28" spans="1:7" x14ac:dyDescent="0.3">
      <c r="A28" s="2" t="s">
        <v>70</v>
      </c>
      <c r="B28" s="2" t="s">
        <v>12</v>
      </c>
      <c r="C28" s="9">
        <v>0.52847222222222223</v>
      </c>
      <c r="D28" s="9">
        <v>0.87986111111111109</v>
      </c>
      <c r="E28" s="3">
        <f t="shared" si="0"/>
        <v>506</v>
      </c>
      <c r="F28" s="15">
        <f t="shared" si="2"/>
        <v>0.35138888888888886</v>
      </c>
      <c r="G28" s="4">
        <f t="shared" si="1"/>
        <v>5903.3501999999999</v>
      </c>
    </row>
    <row r="29" spans="1:7" x14ac:dyDescent="0.3">
      <c r="A29" s="2" t="s">
        <v>71</v>
      </c>
      <c r="B29" s="2" t="s">
        <v>13</v>
      </c>
      <c r="C29" s="9">
        <v>0.52847222222222223</v>
      </c>
      <c r="D29" s="9">
        <v>0.87986111111111109</v>
      </c>
      <c r="E29" s="3">
        <f t="shared" si="0"/>
        <v>506</v>
      </c>
      <c r="F29" s="15">
        <f t="shared" si="2"/>
        <v>0.35138888888888886</v>
      </c>
      <c r="G29" s="4">
        <f t="shared" si="1"/>
        <v>5903.3501999999999</v>
      </c>
    </row>
    <row r="30" spans="1:7" x14ac:dyDescent="0.3">
      <c r="A30" s="10" t="s">
        <v>72</v>
      </c>
      <c r="B30" s="10" t="s">
        <v>14</v>
      </c>
      <c r="C30" s="13"/>
      <c r="D30" s="13"/>
      <c r="E30" s="11" t="str">
        <f t="shared" si="0"/>
        <v/>
      </c>
      <c r="F30" s="16" t="str">
        <f t="shared" si="2"/>
        <v/>
      </c>
      <c r="G30" s="12" t="str">
        <f t="shared" si="1"/>
        <v/>
      </c>
    </row>
    <row r="31" spans="1:7" x14ac:dyDescent="0.3">
      <c r="A31" s="10" t="s">
        <v>73</v>
      </c>
      <c r="B31" s="10" t="s">
        <v>15</v>
      </c>
      <c r="C31" s="13"/>
      <c r="D31" s="13"/>
      <c r="E31" s="11" t="str">
        <f t="shared" si="0"/>
        <v/>
      </c>
      <c r="F31" s="16" t="str">
        <f t="shared" si="2"/>
        <v/>
      </c>
      <c r="G31" s="12" t="str">
        <f t="shared" si="1"/>
        <v/>
      </c>
    </row>
    <row r="32" spans="1:7" x14ac:dyDescent="0.3">
      <c r="A32" s="10" t="s">
        <v>74</v>
      </c>
      <c r="B32" s="10" t="s">
        <v>16</v>
      </c>
      <c r="C32" s="13"/>
      <c r="D32" s="13"/>
      <c r="E32" s="11" t="str">
        <f t="shared" si="0"/>
        <v/>
      </c>
      <c r="F32" s="16" t="str">
        <f t="shared" si="2"/>
        <v/>
      </c>
      <c r="G32" s="12" t="str">
        <f t="shared" si="1"/>
        <v/>
      </c>
    </row>
    <row r="33" spans="1:7" x14ac:dyDescent="0.3">
      <c r="A33" s="2" t="s">
        <v>75</v>
      </c>
      <c r="B33" s="2" t="s">
        <v>17</v>
      </c>
      <c r="C33" s="9">
        <v>0.5229166666666667</v>
      </c>
      <c r="D33" s="9">
        <v>0.84444444444444444</v>
      </c>
      <c r="E33" s="3">
        <f t="shared" si="0"/>
        <v>462.99999999999994</v>
      </c>
      <c r="F33" s="15">
        <f t="shared" si="2"/>
        <v>0.32152777777777775</v>
      </c>
      <c r="G33" s="4">
        <f t="shared" si="1"/>
        <v>5401.6821</v>
      </c>
    </row>
    <row r="34" spans="1:7" x14ac:dyDescent="0.3">
      <c r="A34" s="2" t="s">
        <v>76</v>
      </c>
      <c r="B34" s="2" t="s">
        <v>11</v>
      </c>
      <c r="C34" s="9">
        <v>0.5229166666666667</v>
      </c>
      <c r="D34" s="9">
        <v>0.84444444444444444</v>
      </c>
      <c r="E34" s="3">
        <f t="shared" si="0"/>
        <v>462.99999999999994</v>
      </c>
      <c r="F34" s="15">
        <f t="shared" si="2"/>
        <v>0.32152777777777775</v>
      </c>
      <c r="G34" s="4">
        <f t="shared" si="1"/>
        <v>5401.6821</v>
      </c>
    </row>
    <row r="35" spans="1:7" x14ac:dyDescent="0.3">
      <c r="A35" s="2" t="s">
        <v>77</v>
      </c>
      <c r="B35" s="2" t="s">
        <v>12</v>
      </c>
      <c r="C35" s="9">
        <v>0.5229166666666667</v>
      </c>
      <c r="D35" s="9">
        <v>0.84444444444444444</v>
      </c>
      <c r="E35" s="3">
        <f t="shared" si="0"/>
        <v>462.99999999999994</v>
      </c>
      <c r="F35" s="15">
        <f t="shared" si="2"/>
        <v>0.32152777777777775</v>
      </c>
      <c r="G35" s="4">
        <f t="shared" si="1"/>
        <v>5401.6821</v>
      </c>
    </row>
    <row r="36" spans="1:7" x14ac:dyDescent="0.3">
      <c r="A36" s="2" t="s">
        <v>78</v>
      </c>
      <c r="B36" s="2" t="s">
        <v>13</v>
      </c>
      <c r="C36" s="9">
        <v>0.5229166666666667</v>
      </c>
      <c r="D36" s="9">
        <v>0.84444444444444444</v>
      </c>
      <c r="E36" s="3">
        <f t="shared" si="0"/>
        <v>462.99999999999994</v>
      </c>
      <c r="F36" s="15">
        <f t="shared" si="2"/>
        <v>0.32152777777777775</v>
      </c>
      <c r="G36" s="4">
        <f t="shared" si="1"/>
        <v>5401.6821</v>
      </c>
    </row>
    <row r="37" spans="1:7" x14ac:dyDescent="0.3">
      <c r="A37" s="10" t="s">
        <v>79</v>
      </c>
      <c r="B37" s="10" t="s">
        <v>14</v>
      </c>
      <c r="C37" s="13"/>
      <c r="D37" s="13"/>
      <c r="E37" s="11" t="str">
        <f t="shared" si="0"/>
        <v/>
      </c>
      <c r="F37" s="16" t="str">
        <f t="shared" si="2"/>
        <v/>
      </c>
      <c r="G37" s="12" t="str">
        <f t="shared" si="1"/>
        <v/>
      </c>
    </row>
    <row r="38" spans="1:7" x14ac:dyDescent="0.3">
      <c r="A38" s="2" t="s">
        <v>80</v>
      </c>
      <c r="B38" s="2" t="s">
        <v>15</v>
      </c>
      <c r="C38" s="9">
        <v>0.60416666666666663</v>
      </c>
      <c r="D38" s="9">
        <v>0.92083333333333339</v>
      </c>
      <c r="E38" s="3">
        <f t="shared" si="0"/>
        <v>456.00000000000011</v>
      </c>
      <c r="F38" s="15">
        <f t="shared" si="2"/>
        <v>0.31666666666666676</v>
      </c>
      <c r="G38" s="4">
        <f t="shared" si="1"/>
        <v>5320.0152000000016</v>
      </c>
    </row>
    <row r="39" spans="1:7" x14ac:dyDescent="0.3">
      <c r="F39" s="15" t="str">
        <f t="shared" si="2"/>
        <v/>
      </c>
    </row>
    <row r="40" spans="1:7" x14ac:dyDescent="0.3">
      <c r="D40" s="5" t="s">
        <v>18</v>
      </c>
      <c r="E40" s="6">
        <f>SUM(E8:E38)</f>
        <v>11547</v>
      </c>
      <c r="F40" s="17"/>
      <c r="G40" s="7">
        <f>SUM(G8:G38)</f>
        <v>134715.38490000003</v>
      </c>
    </row>
    <row r="41" spans="1:7" x14ac:dyDescent="0.3">
      <c r="D41" s="5" t="s">
        <v>19</v>
      </c>
      <c r="E41" s="7">
        <f>E40/60</f>
        <v>192.45</v>
      </c>
      <c r="F41" s="14"/>
    </row>
  </sheetData>
  <mergeCells count="5">
    <mergeCell ref="A2:G2"/>
    <mergeCell ref="A1:G1"/>
    <mergeCell ref="A5:G5"/>
    <mergeCell ref="A4:G4"/>
    <mergeCell ref="A3:G3"/>
  </mergeCells>
  <phoneticPr fontId="5" type="noConversion"/>
  <pageMargins left="0.75" right="0.75" top="1" bottom="1" header="0.5" footer="0.5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73E5C-8536-45EB-8F78-2454F6710D16}">
  <dimension ref="A1:G40"/>
  <sheetViews>
    <sheetView workbookViewId="0">
      <pane ySplit="7" topLeftCell="A23" activePane="bottomLeft" state="frozen"/>
      <selection pane="bottomLeft" activeCell="C29" sqref="C29:D29"/>
    </sheetView>
  </sheetViews>
  <sheetFormatPr defaultRowHeight="14.4" x14ac:dyDescent="0.3"/>
  <cols>
    <col min="1" max="1" width="12" style="19" customWidth="1"/>
    <col min="2" max="2" width="15" style="19" customWidth="1"/>
    <col min="3" max="3" width="19.5546875" style="19" customWidth="1"/>
    <col min="4" max="4" width="28.44140625" style="19" customWidth="1"/>
    <col min="5" max="6" width="30.109375" style="19" customWidth="1"/>
    <col min="7" max="7" width="19.88671875" style="19" customWidth="1"/>
    <col min="8" max="16384" width="8.88671875" style="19"/>
  </cols>
  <sheetData>
    <row r="1" spans="1:7" x14ac:dyDescent="0.3">
      <c r="A1" s="39" t="s">
        <v>0</v>
      </c>
      <c r="B1" s="40"/>
      <c r="C1" s="40"/>
      <c r="D1" s="40"/>
      <c r="E1" s="40"/>
      <c r="F1" s="40"/>
      <c r="G1" s="40"/>
    </row>
    <row r="2" spans="1:7" x14ac:dyDescent="0.3">
      <c r="A2" s="39" t="s">
        <v>1</v>
      </c>
      <c r="B2" s="40"/>
      <c r="C2" s="40"/>
      <c r="D2" s="40"/>
      <c r="E2" s="40"/>
      <c r="F2" s="40"/>
      <c r="G2" s="40"/>
    </row>
    <row r="3" spans="1:7" x14ac:dyDescent="0.3">
      <c r="A3" s="39" t="s">
        <v>2</v>
      </c>
      <c r="B3" s="40"/>
      <c r="C3" s="40"/>
      <c r="D3" s="40"/>
      <c r="E3" s="40"/>
      <c r="F3" s="40"/>
      <c r="G3" s="40"/>
    </row>
    <row r="4" spans="1:7" x14ac:dyDescent="0.3">
      <c r="A4" s="39" t="s">
        <v>3</v>
      </c>
      <c r="B4" s="40"/>
      <c r="C4" s="40"/>
      <c r="D4" s="40"/>
      <c r="E4" s="40"/>
      <c r="F4" s="40"/>
      <c r="G4" s="40"/>
    </row>
    <row r="5" spans="1:7" x14ac:dyDescent="0.3">
      <c r="A5" s="39" t="s">
        <v>4</v>
      </c>
      <c r="B5" s="40"/>
      <c r="C5" s="40"/>
      <c r="D5" s="40"/>
      <c r="E5" s="40"/>
      <c r="F5" s="40"/>
      <c r="G5" s="40"/>
    </row>
    <row r="7" spans="1:7" ht="15.6" x14ac:dyDescent="0.3">
      <c r="A7" s="1" t="s">
        <v>5</v>
      </c>
      <c r="B7" s="1" t="s">
        <v>6</v>
      </c>
      <c r="C7" s="1" t="s">
        <v>7</v>
      </c>
      <c r="D7" s="1" t="s">
        <v>8</v>
      </c>
      <c r="E7" s="1" t="s">
        <v>9</v>
      </c>
      <c r="F7" s="1" t="s">
        <v>81</v>
      </c>
      <c r="G7" s="1" t="s">
        <v>10</v>
      </c>
    </row>
    <row r="8" spans="1:7" x14ac:dyDescent="0.3">
      <c r="A8" s="26">
        <v>45901</v>
      </c>
      <c r="B8" s="2" t="s">
        <v>16</v>
      </c>
      <c r="C8" s="9">
        <v>0.63750000000000007</v>
      </c>
      <c r="D8" s="9">
        <v>0.94791666666666663</v>
      </c>
      <c r="E8" s="3">
        <f t="shared" ref="E8:E37" si="0">IF(AND(C8&lt;&gt;"",D8&lt;&gt;""),IF(D8&gt;=C8,(D8-C8)*24*60,(D8-C8+1)*24*60),"")</f>
        <v>446.99999999999983</v>
      </c>
      <c r="F8" s="15">
        <f>IF(E8="", "", E8/1440)</f>
        <v>0.31041666666666656</v>
      </c>
      <c r="G8" s="4">
        <f t="shared" ref="G8:G37" si="1">IF(E8&lt;&gt;"",E8*11.6667,"")</f>
        <v>5215.0148999999983</v>
      </c>
    </row>
    <row r="9" spans="1:7" s="27" customFormat="1" x14ac:dyDescent="0.3">
      <c r="A9" s="20">
        <v>45902</v>
      </c>
      <c r="B9" s="21" t="s">
        <v>17</v>
      </c>
      <c r="C9" s="9">
        <v>0.63750000000000007</v>
      </c>
      <c r="D9" s="9">
        <v>0.94791666666666663</v>
      </c>
      <c r="E9" s="23">
        <f t="shared" si="0"/>
        <v>446.99999999999983</v>
      </c>
      <c r="F9" s="24">
        <f t="shared" ref="F9:F37" si="2">IF(E9="", "", E9/1440)</f>
        <v>0.31041666666666656</v>
      </c>
      <c r="G9" s="25">
        <f t="shared" si="1"/>
        <v>5215.0148999999983</v>
      </c>
    </row>
    <row r="10" spans="1:7" s="27" customFormat="1" x14ac:dyDescent="0.3">
      <c r="A10" s="20">
        <v>45903</v>
      </c>
      <c r="B10" s="21" t="s">
        <v>11</v>
      </c>
      <c r="C10" s="9">
        <v>0.63750000000000007</v>
      </c>
      <c r="D10" s="9">
        <v>0.94791666666666663</v>
      </c>
      <c r="E10" s="23">
        <f t="shared" si="0"/>
        <v>446.99999999999983</v>
      </c>
      <c r="F10" s="24">
        <f t="shared" si="2"/>
        <v>0.31041666666666656</v>
      </c>
      <c r="G10" s="25">
        <f t="shared" si="1"/>
        <v>5215.0148999999983</v>
      </c>
    </row>
    <row r="11" spans="1:7" s="27" customFormat="1" x14ac:dyDescent="0.3">
      <c r="A11" s="20">
        <v>45904</v>
      </c>
      <c r="B11" s="21" t="s">
        <v>12</v>
      </c>
      <c r="C11" s="9">
        <v>0.63750000000000007</v>
      </c>
      <c r="D11" s="9">
        <v>0.94791666666666663</v>
      </c>
      <c r="E11" s="23">
        <f t="shared" si="0"/>
        <v>446.99999999999983</v>
      </c>
      <c r="F11" s="24">
        <f t="shared" si="2"/>
        <v>0.31041666666666656</v>
      </c>
      <c r="G11" s="25">
        <f t="shared" si="1"/>
        <v>5215.0148999999983</v>
      </c>
    </row>
    <row r="12" spans="1:7" s="27" customFormat="1" x14ac:dyDescent="0.3">
      <c r="A12" s="20">
        <v>45905</v>
      </c>
      <c r="B12" s="21" t="s">
        <v>13</v>
      </c>
      <c r="C12" s="9">
        <v>0.63750000000000007</v>
      </c>
      <c r="D12" s="9">
        <v>0.94791666666666663</v>
      </c>
      <c r="E12" s="23">
        <f t="shared" si="0"/>
        <v>446.99999999999983</v>
      </c>
      <c r="F12" s="24">
        <f t="shared" si="2"/>
        <v>0.31041666666666656</v>
      </c>
      <c r="G12" s="25">
        <f t="shared" si="1"/>
        <v>5215.0148999999983</v>
      </c>
    </row>
    <row r="13" spans="1:7" s="27" customFormat="1" x14ac:dyDescent="0.3">
      <c r="A13" s="18">
        <v>45906</v>
      </c>
      <c r="B13" s="10" t="s">
        <v>14</v>
      </c>
      <c r="C13" s="13"/>
      <c r="D13" s="13"/>
      <c r="E13" s="11" t="str">
        <f t="shared" si="0"/>
        <v/>
      </c>
      <c r="F13" s="16" t="str">
        <f t="shared" si="2"/>
        <v/>
      </c>
      <c r="G13" s="12" t="str">
        <f t="shared" si="1"/>
        <v/>
      </c>
    </row>
    <row r="14" spans="1:7" s="27" customFormat="1" x14ac:dyDescent="0.3">
      <c r="A14" s="20">
        <v>45907</v>
      </c>
      <c r="B14" s="21" t="s">
        <v>15</v>
      </c>
      <c r="C14" s="22">
        <v>0.51111111111111118</v>
      </c>
      <c r="D14" s="22">
        <v>0.82013888888888886</v>
      </c>
      <c r="E14" s="23">
        <f t="shared" si="0"/>
        <v>444.99999999999989</v>
      </c>
      <c r="F14" s="24">
        <f t="shared" si="2"/>
        <v>0.30902777777777768</v>
      </c>
      <c r="G14" s="25">
        <f t="shared" si="1"/>
        <v>5191.6814999999988</v>
      </c>
    </row>
    <row r="15" spans="1:7" s="27" customFormat="1" x14ac:dyDescent="0.3">
      <c r="A15" s="20">
        <v>45908</v>
      </c>
      <c r="B15" s="21" t="s">
        <v>16</v>
      </c>
      <c r="C15" s="9">
        <v>0.63750000000000007</v>
      </c>
      <c r="D15" s="9">
        <v>0.94791666666666663</v>
      </c>
      <c r="E15" s="23">
        <f t="shared" si="0"/>
        <v>446.99999999999983</v>
      </c>
      <c r="F15" s="24">
        <f t="shared" si="2"/>
        <v>0.31041666666666656</v>
      </c>
      <c r="G15" s="25">
        <f t="shared" si="1"/>
        <v>5215.0148999999983</v>
      </c>
    </row>
    <row r="16" spans="1:7" s="27" customFormat="1" x14ac:dyDescent="0.3">
      <c r="A16" s="20">
        <v>45909</v>
      </c>
      <c r="B16" s="21" t="s">
        <v>17</v>
      </c>
      <c r="C16" s="9">
        <v>0.63750000000000007</v>
      </c>
      <c r="D16" s="9">
        <v>0.94791666666666663</v>
      </c>
      <c r="E16" s="23">
        <f t="shared" si="0"/>
        <v>446.99999999999983</v>
      </c>
      <c r="F16" s="24">
        <f t="shared" si="2"/>
        <v>0.31041666666666656</v>
      </c>
      <c r="G16" s="25">
        <f t="shared" si="1"/>
        <v>5215.0148999999983</v>
      </c>
    </row>
    <row r="17" spans="1:7" s="27" customFormat="1" x14ac:dyDescent="0.3">
      <c r="A17" s="20">
        <v>45910</v>
      </c>
      <c r="B17" s="21" t="s">
        <v>11</v>
      </c>
      <c r="C17" s="9">
        <v>0.63750000000000007</v>
      </c>
      <c r="D17" s="9">
        <v>0.94791666666666663</v>
      </c>
      <c r="E17" s="23">
        <f t="shared" si="0"/>
        <v>446.99999999999983</v>
      </c>
      <c r="F17" s="24">
        <f t="shared" si="2"/>
        <v>0.31041666666666656</v>
      </c>
      <c r="G17" s="25">
        <f t="shared" si="1"/>
        <v>5215.0148999999983</v>
      </c>
    </row>
    <row r="18" spans="1:7" s="27" customFormat="1" x14ac:dyDescent="0.3">
      <c r="A18" s="20">
        <v>45911</v>
      </c>
      <c r="B18" s="21" t="s">
        <v>12</v>
      </c>
      <c r="C18" s="9">
        <v>0.63750000000000007</v>
      </c>
      <c r="D18" s="9">
        <v>0.94791666666666663</v>
      </c>
      <c r="E18" s="23">
        <f t="shared" si="0"/>
        <v>446.99999999999983</v>
      </c>
      <c r="F18" s="24">
        <f t="shared" si="2"/>
        <v>0.31041666666666656</v>
      </c>
      <c r="G18" s="25">
        <f t="shared" si="1"/>
        <v>5215.0148999999983</v>
      </c>
    </row>
    <row r="19" spans="1:7" s="27" customFormat="1" x14ac:dyDescent="0.3">
      <c r="A19" s="20">
        <v>45912</v>
      </c>
      <c r="B19" s="21" t="s">
        <v>13</v>
      </c>
      <c r="C19" s="9">
        <v>0.63749999999999996</v>
      </c>
      <c r="D19" s="9">
        <v>0.94791666666666696</v>
      </c>
      <c r="E19" s="23">
        <f t="shared" si="0"/>
        <v>447.00000000000051</v>
      </c>
      <c r="F19" s="24">
        <f t="shared" si="2"/>
        <v>0.31041666666666701</v>
      </c>
      <c r="G19" s="25">
        <f t="shared" si="1"/>
        <v>5215.0149000000065</v>
      </c>
    </row>
    <row r="20" spans="1:7" s="27" customFormat="1" x14ac:dyDescent="0.3">
      <c r="A20" s="18">
        <v>45913</v>
      </c>
      <c r="B20" s="10" t="s">
        <v>14</v>
      </c>
      <c r="C20" s="13"/>
      <c r="D20" s="13"/>
      <c r="E20" s="11" t="str">
        <f t="shared" si="0"/>
        <v/>
      </c>
      <c r="F20" s="16" t="str">
        <f t="shared" si="2"/>
        <v/>
      </c>
      <c r="G20" s="12" t="str">
        <f t="shared" si="1"/>
        <v/>
      </c>
    </row>
    <row r="21" spans="1:7" s="27" customFormat="1" x14ac:dyDescent="0.3">
      <c r="A21" s="20">
        <v>45914</v>
      </c>
      <c r="B21" s="21" t="s">
        <v>15</v>
      </c>
      <c r="C21" s="22">
        <v>0.58680555555555558</v>
      </c>
      <c r="D21" s="22">
        <v>0.98819444444444438</v>
      </c>
      <c r="E21" s="23">
        <f t="shared" si="0"/>
        <v>577.99999999999989</v>
      </c>
      <c r="F21" s="24">
        <f t="shared" si="2"/>
        <v>0.4013888888888888</v>
      </c>
      <c r="G21" s="25">
        <f t="shared" si="1"/>
        <v>6743.3525999999993</v>
      </c>
    </row>
    <row r="22" spans="1:7" s="27" customFormat="1" x14ac:dyDescent="0.3">
      <c r="A22" s="20">
        <v>45915</v>
      </c>
      <c r="B22" s="21" t="s">
        <v>16</v>
      </c>
      <c r="C22" s="9">
        <v>0.63749999999999996</v>
      </c>
      <c r="D22" s="9">
        <v>0.94791666666666696</v>
      </c>
      <c r="E22" s="23">
        <f t="shared" si="0"/>
        <v>447.00000000000051</v>
      </c>
      <c r="F22" s="24">
        <f t="shared" si="2"/>
        <v>0.31041666666666701</v>
      </c>
      <c r="G22" s="25">
        <f t="shared" si="1"/>
        <v>5215.0149000000065</v>
      </c>
    </row>
    <row r="23" spans="1:7" s="27" customFormat="1" x14ac:dyDescent="0.3">
      <c r="A23" s="20">
        <v>45916</v>
      </c>
      <c r="B23" s="21" t="s">
        <v>17</v>
      </c>
      <c r="C23" s="9">
        <v>0.63749999999999996</v>
      </c>
      <c r="D23" s="9">
        <v>0.94791666666666696</v>
      </c>
      <c r="E23" s="23">
        <f t="shared" si="0"/>
        <v>447.00000000000051</v>
      </c>
      <c r="F23" s="24">
        <f t="shared" si="2"/>
        <v>0.31041666666666701</v>
      </c>
      <c r="G23" s="25">
        <f t="shared" si="1"/>
        <v>5215.0149000000065</v>
      </c>
    </row>
    <row r="24" spans="1:7" s="27" customFormat="1" x14ac:dyDescent="0.3">
      <c r="A24" s="20">
        <v>45917</v>
      </c>
      <c r="B24" s="21" t="s">
        <v>11</v>
      </c>
      <c r="C24" s="9">
        <v>0.63749999999999996</v>
      </c>
      <c r="D24" s="9">
        <v>0.94791666666666696</v>
      </c>
      <c r="E24" s="23">
        <f t="shared" si="0"/>
        <v>447.00000000000051</v>
      </c>
      <c r="F24" s="24">
        <f t="shared" si="2"/>
        <v>0.31041666666666701</v>
      </c>
      <c r="G24" s="25">
        <f t="shared" si="1"/>
        <v>5215.0149000000065</v>
      </c>
    </row>
    <row r="25" spans="1:7" s="27" customFormat="1" x14ac:dyDescent="0.3">
      <c r="A25" s="20">
        <v>45918</v>
      </c>
      <c r="B25" s="21" t="s">
        <v>12</v>
      </c>
      <c r="C25" s="9">
        <v>0.63749999999999996</v>
      </c>
      <c r="D25" s="9">
        <v>0.94791666666666696</v>
      </c>
      <c r="E25" s="23">
        <f t="shared" si="0"/>
        <v>447.00000000000051</v>
      </c>
      <c r="F25" s="24">
        <f t="shared" si="2"/>
        <v>0.31041666666666701</v>
      </c>
      <c r="G25" s="25">
        <f t="shared" si="1"/>
        <v>5215.0149000000065</v>
      </c>
    </row>
    <row r="26" spans="1:7" s="27" customFormat="1" x14ac:dyDescent="0.3">
      <c r="A26" s="20">
        <v>45919</v>
      </c>
      <c r="B26" s="21" t="s">
        <v>13</v>
      </c>
      <c r="C26" s="9">
        <v>0.63749999999999996</v>
      </c>
      <c r="D26" s="9">
        <v>0.94791666666666696</v>
      </c>
      <c r="E26" s="23">
        <f t="shared" si="0"/>
        <v>447.00000000000051</v>
      </c>
      <c r="F26" s="24">
        <f t="shared" si="2"/>
        <v>0.31041666666666701</v>
      </c>
      <c r="G26" s="25">
        <f t="shared" si="1"/>
        <v>5215.0149000000065</v>
      </c>
    </row>
    <row r="27" spans="1:7" s="27" customFormat="1" x14ac:dyDescent="0.3">
      <c r="A27" s="18">
        <v>45920</v>
      </c>
      <c r="B27" s="10" t="s">
        <v>14</v>
      </c>
      <c r="C27" s="13"/>
      <c r="D27" s="13"/>
      <c r="E27" s="11" t="str">
        <f t="shared" si="0"/>
        <v/>
      </c>
      <c r="F27" s="16" t="str">
        <f t="shared" si="2"/>
        <v/>
      </c>
      <c r="G27" s="12" t="str">
        <f t="shared" si="1"/>
        <v/>
      </c>
    </row>
    <row r="28" spans="1:7" s="27" customFormat="1" x14ac:dyDescent="0.3">
      <c r="A28" s="18">
        <v>45921</v>
      </c>
      <c r="B28" s="10" t="s">
        <v>15</v>
      </c>
      <c r="C28" s="13"/>
      <c r="D28" s="13"/>
      <c r="E28" s="11" t="str">
        <f t="shared" si="0"/>
        <v/>
      </c>
      <c r="F28" s="16" t="str">
        <f t="shared" si="2"/>
        <v/>
      </c>
      <c r="G28" s="12" t="str">
        <f t="shared" si="1"/>
        <v/>
      </c>
    </row>
    <row r="29" spans="1:7" s="27" customFormat="1" x14ac:dyDescent="0.3">
      <c r="A29" s="20">
        <v>45922</v>
      </c>
      <c r="B29" s="21" t="s">
        <v>16</v>
      </c>
      <c r="C29" s="9">
        <v>0.63749999999999996</v>
      </c>
      <c r="D29" s="9">
        <v>0.94791666666666696</v>
      </c>
      <c r="E29" s="23">
        <f t="shared" si="0"/>
        <v>447.00000000000051</v>
      </c>
      <c r="F29" s="24">
        <f t="shared" si="2"/>
        <v>0.31041666666666701</v>
      </c>
      <c r="G29" s="25">
        <f t="shared" si="1"/>
        <v>5215.0149000000065</v>
      </c>
    </row>
    <row r="30" spans="1:7" s="27" customFormat="1" x14ac:dyDescent="0.3">
      <c r="A30" s="20">
        <v>45923</v>
      </c>
      <c r="B30" s="21" t="s">
        <v>17</v>
      </c>
      <c r="C30" s="9">
        <v>0.63749999999999996</v>
      </c>
      <c r="D30" s="9">
        <v>0.94791666666666696</v>
      </c>
      <c r="E30" s="23">
        <f t="shared" si="0"/>
        <v>447.00000000000051</v>
      </c>
      <c r="F30" s="24">
        <f t="shared" si="2"/>
        <v>0.31041666666666701</v>
      </c>
      <c r="G30" s="25">
        <f t="shared" si="1"/>
        <v>5215.0149000000065</v>
      </c>
    </row>
    <row r="31" spans="1:7" s="27" customFormat="1" x14ac:dyDescent="0.3">
      <c r="A31" s="20">
        <v>45924</v>
      </c>
      <c r="B31" s="21" t="s">
        <v>11</v>
      </c>
      <c r="C31" s="9">
        <v>0.63749999999999996</v>
      </c>
      <c r="D31" s="9">
        <v>0.94791666666666696</v>
      </c>
      <c r="E31" s="23">
        <f t="shared" si="0"/>
        <v>447.00000000000051</v>
      </c>
      <c r="F31" s="24">
        <f t="shared" si="2"/>
        <v>0.31041666666666701</v>
      </c>
      <c r="G31" s="25">
        <f t="shared" si="1"/>
        <v>5215.0149000000065</v>
      </c>
    </row>
    <row r="32" spans="1:7" s="27" customFormat="1" x14ac:dyDescent="0.3">
      <c r="A32" s="20">
        <v>45925</v>
      </c>
      <c r="B32" s="21" t="s">
        <v>12</v>
      </c>
      <c r="C32" s="9">
        <v>0.63749999999999996</v>
      </c>
      <c r="D32" s="9">
        <v>0.94791666666666696</v>
      </c>
      <c r="E32" s="23">
        <f t="shared" si="0"/>
        <v>447.00000000000051</v>
      </c>
      <c r="F32" s="24">
        <f t="shared" si="2"/>
        <v>0.31041666666666701</v>
      </c>
      <c r="G32" s="25">
        <f t="shared" si="1"/>
        <v>5215.0149000000065</v>
      </c>
    </row>
    <row r="33" spans="1:7" s="27" customFormat="1" x14ac:dyDescent="0.3">
      <c r="A33" s="20">
        <v>45926</v>
      </c>
      <c r="B33" s="21" t="s">
        <v>13</v>
      </c>
      <c r="C33" s="9">
        <v>0.63749999999999996</v>
      </c>
      <c r="D33" s="9">
        <v>0.94791666666666696</v>
      </c>
      <c r="E33" s="23">
        <f t="shared" si="0"/>
        <v>447.00000000000051</v>
      </c>
      <c r="F33" s="24">
        <f t="shared" si="2"/>
        <v>0.31041666666666701</v>
      </c>
      <c r="G33" s="25">
        <f t="shared" si="1"/>
        <v>5215.0149000000065</v>
      </c>
    </row>
    <row r="34" spans="1:7" s="27" customFormat="1" x14ac:dyDescent="0.3">
      <c r="A34" s="18">
        <v>45927</v>
      </c>
      <c r="B34" s="10" t="s">
        <v>14</v>
      </c>
      <c r="C34" s="13"/>
      <c r="D34" s="13"/>
      <c r="E34" s="11" t="str">
        <f t="shared" si="0"/>
        <v/>
      </c>
      <c r="F34" s="16" t="str">
        <f t="shared" si="2"/>
        <v/>
      </c>
      <c r="G34" s="12" t="str">
        <f t="shared" si="1"/>
        <v/>
      </c>
    </row>
    <row r="35" spans="1:7" s="27" customFormat="1" x14ac:dyDescent="0.3">
      <c r="A35" s="20">
        <v>45928</v>
      </c>
      <c r="B35" s="21" t="s">
        <v>15</v>
      </c>
      <c r="C35" s="22">
        <v>0.49236111111111108</v>
      </c>
      <c r="D35" s="22">
        <v>0.80138888888888893</v>
      </c>
      <c r="E35" s="23">
        <f t="shared" si="0"/>
        <v>445.00000000000006</v>
      </c>
      <c r="F35" s="24">
        <f t="shared" si="2"/>
        <v>0.30902777777777779</v>
      </c>
      <c r="G35" s="25">
        <f t="shared" si="1"/>
        <v>5191.6815000000006</v>
      </c>
    </row>
    <row r="36" spans="1:7" x14ac:dyDescent="0.3">
      <c r="A36" s="26">
        <v>45929</v>
      </c>
      <c r="B36" s="2" t="s">
        <v>16</v>
      </c>
      <c r="C36" s="9">
        <v>0.7680555555555556</v>
      </c>
      <c r="D36" s="9">
        <v>2.5694444444444447E-2</v>
      </c>
      <c r="E36" s="3">
        <f t="shared" si="0"/>
        <v>370.99999999999994</v>
      </c>
      <c r="F36" s="15">
        <f t="shared" si="2"/>
        <v>0.25763888888888886</v>
      </c>
      <c r="G36" s="4">
        <f t="shared" si="1"/>
        <v>4328.3456999999999</v>
      </c>
    </row>
    <row r="37" spans="1:7" x14ac:dyDescent="0.3">
      <c r="A37" s="26">
        <v>45930</v>
      </c>
      <c r="B37" s="2" t="s">
        <v>17</v>
      </c>
      <c r="C37" s="9">
        <v>0.7680555555555556</v>
      </c>
      <c r="D37" s="9">
        <v>2.5694444444444447E-2</v>
      </c>
      <c r="E37" s="3">
        <f t="shared" si="0"/>
        <v>370.99999999999994</v>
      </c>
      <c r="F37" s="15">
        <f t="shared" si="2"/>
        <v>0.25763888888888886</v>
      </c>
      <c r="G37" s="4">
        <f t="shared" si="1"/>
        <v>4328.3456999999999</v>
      </c>
    </row>
    <row r="38" spans="1:7" x14ac:dyDescent="0.3">
      <c r="F38" s="15" t="str">
        <f t="shared" ref="F38" si="3">IF(E38="", "", E38/1440)</f>
        <v/>
      </c>
    </row>
    <row r="39" spans="1:7" x14ac:dyDescent="0.3">
      <c r="D39" s="5" t="s">
        <v>18</v>
      </c>
      <c r="E39" s="6">
        <f>SUM(E7:E37)</f>
        <v>11150.000000000005</v>
      </c>
      <c r="F39" s="17"/>
      <c r="G39" s="7">
        <f>SUM(G7:G37)</f>
        <v>130083.70500000009</v>
      </c>
    </row>
    <row r="40" spans="1:7" x14ac:dyDescent="0.3">
      <c r="D40" s="5" t="s">
        <v>19</v>
      </c>
      <c r="E40" s="7">
        <f>E39/60</f>
        <v>185.83333333333343</v>
      </c>
      <c r="F40" s="14"/>
    </row>
  </sheetData>
  <mergeCells count="5">
    <mergeCell ref="A1:G1"/>
    <mergeCell ref="A2:G2"/>
    <mergeCell ref="A3:G3"/>
    <mergeCell ref="A4:G4"/>
    <mergeCell ref="A5:G5"/>
  </mergeCells>
  <phoneticPr fontId="5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C23DD-376D-4550-95F5-E17A98F79FD2}">
  <dimension ref="A1:G40"/>
  <sheetViews>
    <sheetView workbookViewId="0">
      <pane ySplit="7" topLeftCell="A26" activePane="bottomLeft" state="frozen"/>
      <selection pane="bottomLeft" activeCell="C38" sqref="C38:D38"/>
    </sheetView>
  </sheetViews>
  <sheetFormatPr defaultRowHeight="14.4" x14ac:dyDescent="0.3"/>
  <cols>
    <col min="1" max="1" width="12" style="19" customWidth="1"/>
    <col min="2" max="2" width="15" style="19" customWidth="1"/>
    <col min="3" max="3" width="19.5546875" style="19" customWidth="1"/>
    <col min="4" max="4" width="28.44140625" style="19" customWidth="1"/>
    <col min="5" max="6" width="30.109375" style="19" customWidth="1"/>
    <col min="7" max="7" width="19.88671875" style="19" customWidth="1"/>
    <col min="8" max="16384" width="8.88671875" style="19"/>
  </cols>
  <sheetData>
    <row r="1" spans="1:7" x14ac:dyDescent="0.3">
      <c r="A1" s="39" t="s">
        <v>0</v>
      </c>
      <c r="B1" s="40"/>
      <c r="C1" s="40"/>
      <c r="D1" s="40"/>
      <c r="E1" s="40"/>
      <c r="F1" s="40"/>
      <c r="G1" s="40"/>
    </row>
    <row r="2" spans="1:7" x14ac:dyDescent="0.3">
      <c r="A2" s="39" t="s">
        <v>1</v>
      </c>
      <c r="B2" s="40"/>
      <c r="C2" s="40"/>
      <c r="D2" s="40"/>
      <c r="E2" s="40"/>
      <c r="F2" s="40"/>
      <c r="G2" s="40"/>
    </row>
    <row r="3" spans="1:7" x14ac:dyDescent="0.3">
      <c r="A3" s="39" t="s">
        <v>2</v>
      </c>
      <c r="B3" s="40"/>
      <c r="C3" s="40"/>
      <c r="D3" s="40"/>
      <c r="E3" s="40"/>
      <c r="F3" s="40"/>
      <c r="G3" s="40"/>
    </row>
    <row r="4" spans="1:7" x14ac:dyDescent="0.3">
      <c r="A4" s="39" t="s">
        <v>3</v>
      </c>
      <c r="B4" s="40"/>
      <c r="C4" s="40"/>
      <c r="D4" s="40"/>
      <c r="E4" s="40"/>
      <c r="F4" s="40"/>
      <c r="G4" s="40"/>
    </row>
    <row r="5" spans="1:7" x14ac:dyDescent="0.3">
      <c r="A5" s="39" t="s">
        <v>4</v>
      </c>
      <c r="B5" s="40"/>
      <c r="C5" s="40"/>
      <c r="D5" s="40"/>
      <c r="E5" s="40"/>
      <c r="F5" s="40"/>
      <c r="G5" s="40"/>
    </row>
    <row r="7" spans="1:7" ht="15.6" x14ac:dyDescent="0.3">
      <c r="A7" s="1" t="s">
        <v>5</v>
      </c>
      <c r="B7" s="1" t="s">
        <v>6</v>
      </c>
      <c r="C7" s="1" t="s">
        <v>7</v>
      </c>
      <c r="D7" s="1" t="s">
        <v>8</v>
      </c>
      <c r="E7" s="1" t="s">
        <v>9</v>
      </c>
      <c r="F7" s="1" t="s">
        <v>81</v>
      </c>
      <c r="G7" s="1" t="s">
        <v>10</v>
      </c>
    </row>
    <row r="8" spans="1:7" x14ac:dyDescent="0.3">
      <c r="A8" s="26">
        <v>45931</v>
      </c>
      <c r="B8" s="21" t="s">
        <v>11</v>
      </c>
      <c r="C8" s="9">
        <v>0.7680555555555556</v>
      </c>
      <c r="D8" s="9">
        <v>2.5694444444444447E-2</v>
      </c>
      <c r="E8" s="3">
        <f t="shared" ref="E8:E37" si="0">IF(AND(C8&lt;&gt;"",D8&lt;&gt;""),IF(D8&gt;=C8,(D8-C8)*24*60,(D8-C8+1)*24*60),"")</f>
        <v>370.99999999999994</v>
      </c>
      <c r="F8" s="15">
        <f>IF(E8="", "", E8/1440)</f>
        <v>0.25763888888888886</v>
      </c>
      <c r="G8" s="4">
        <f t="shared" ref="G8:G37" si="1">IF(E8&lt;&gt;"",E8*11.6667,"")</f>
        <v>4328.3456999999999</v>
      </c>
    </row>
    <row r="9" spans="1:7" s="27" customFormat="1" x14ac:dyDescent="0.3">
      <c r="A9" s="26">
        <v>45932</v>
      </c>
      <c r="B9" s="21" t="s">
        <v>12</v>
      </c>
      <c r="C9" s="9">
        <v>0.7680555555555556</v>
      </c>
      <c r="D9" s="9">
        <v>2.5694444444444447E-2</v>
      </c>
      <c r="E9" s="23">
        <f t="shared" si="0"/>
        <v>370.99999999999994</v>
      </c>
      <c r="F9" s="24">
        <f t="shared" ref="F9:F37" si="2">IF(E9="", "", E9/1440)</f>
        <v>0.25763888888888886</v>
      </c>
      <c r="G9" s="25">
        <f t="shared" si="1"/>
        <v>4328.3456999999999</v>
      </c>
    </row>
    <row r="10" spans="1:7" s="27" customFormat="1" x14ac:dyDescent="0.3">
      <c r="A10" s="26">
        <v>45933</v>
      </c>
      <c r="B10" s="21" t="s">
        <v>13</v>
      </c>
      <c r="C10" s="9">
        <v>0.7680555555555556</v>
      </c>
      <c r="D10" s="9">
        <v>2.5694444444444447E-2</v>
      </c>
      <c r="E10" s="23">
        <f t="shared" si="0"/>
        <v>370.99999999999994</v>
      </c>
      <c r="F10" s="24">
        <f t="shared" si="2"/>
        <v>0.25763888888888886</v>
      </c>
      <c r="G10" s="25">
        <f t="shared" si="1"/>
        <v>4328.3456999999999</v>
      </c>
    </row>
    <row r="11" spans="1:7" s="27" customFormat="1" x14ac:dyDescent="0.3">
      <c r="A11" s="18">
        <v>45934</v>
      </c>
      <c r="B11" s="10" t="s">
        <v>14</v>
      </c>
      <c r="C11" s="13"/>
      <c r="D11" s="13"/>
      <c r="E11" s="11" t="str">
        <f t="shared" si="0"/>
        <v/>
      </c>
      <c r="F11" s="16" t="str">
        <f t="shared" si="2"/>
        <v/>
      </c>
      <c r="G11" s="12" t="str">
        <f t="shared" si="1"/>
        <v/>
      </c>
    </row>
    <row r="12" spans="1:7" s="27" customFormat="1" x14ac:dyDescent="0.3">
      <c r="A12" s="18">
        <v>45935</v>
      </c>
      <c r="B12" s="10" t="s">
        <v>15</v>
      </c>
      <c r="C12" s="13"/>
      <c r="D12" s="13"/>
      <c r="E12" s="11" t="str">
        <f t="shared" si="0"/>
        <v/>
      </c>
      <c r="F12" s="16" t="str">
        <f t="shared" si="2"/>
        <v/>
      </c>
      <c r="G12" s="12" t="str">
        <f t="shared" si="1"/>
        <v/>
      </c>
    </row>
    <row r="13" spans="1:7" s="27" customFormat="1" x14ac:dyDescent="0.3">
      <c r="A13" s="26">
        <v>45936</v>
      </c>
      <c r="B13" s="21" t="s">
        <v>16</v>
      </c>
      <c r="C13" s="9">
        <v>0.63749999999999996</v>
      </c>
      <c r="D13" s="9">
        <v>0.94791666666666696</v>
      </c>
      <c r="E13" s="23">
        <f t="shared" si="0"/>
        <v>447.00000000000051</v>
      </c>
      <c r="F13" s="24">
        <f t="shared" si="2"/>
        <v>0.31041666666666701</v>
      </c>
      <c r="G13" s="25">
        <f t="shared" si="1"/>
        <v>5215.0149000000065</v>
      </c>
    </row>
    <row r="14" spans="1:7" s="27" customFormat="1" x14ac:dyDescent="0.3">
      <c r="A14" s="26">
        <v>45937</v>
      </c>
      <c r="B14" s="21" t="s">
        <v>17</v>
      </c>
      <c r="C14" s="9">
        <v>0.63749999999999996</v>
      </c>
      <c r="D14" s="9">
        <v>0.94791666666666696</v>
      </c>
      <c r="E14" s="23">
        <f t="shared" si="0"/>
        <v>447.00000000000051</v>
      </c>
      <c r="F14" s="24">
        <f t="shared" si="2"/>
        <v>0.31041666666666701</v>
      </c>
      <c r="G14" s="25">
        <f t="shared" si="1"/>
        <v>5215.0149000000065</v>
      </c>
    </row>
    <row r="15" spans="1:7" s="27" customFormat="1" x14ac:dyDescent="0.3">
      <c r="A15" s="26">
        <v>45938</v>
      </c>
      <c r="B15" s="21" t="s">
        <v>11</v>
      </c>
      <c r="C15" s="9">
        <v>0.63749999999999996</v>
      </c>
      <c r="D15" s="9">
        <v>0.94791666666666696</v>
      </c>
      <c r="E15" s="23">
        <f t="shared" si="0"/>
        <v>447.00000000000051</v>
      </c>
      <c r="F15" s="24">
        <f t="shared" si="2"/>
        <v>0.31041666666666701</v>
      </c>
      <c r="G15" s="25">
        <f t="shared" si="1"/>
        <v>5215.0149000000065</v>
      </c>
    </row>
    <row r="16" spans="1:7" s="27" customFormat="1" x14ac:dyDescent="0.3">
      <c r="A16" s="26">
        <v>45939</v>
      </c>
      <c r="B16" s="21" t="s">
        <v>12</v>
      </c>
      <c r="C16" s="9">
        <v>0.63749999999999996</v>
      </c>
      <c r="D16" s="9">
        <v>0.94791666666666696</v>
      </c>
      <c r="E16" s="23">
        <f t="shared" si="0"/>
        <v>447.00000000000051</v>
      </c>
      <c r="F16" s="24">
        <f t="shared" si="2"/>
        <v>0.31041666666666701</v>
      </c>
      <c r="G16" s="25">
        <f t="shared" si="1"/>
        <v>5215.0149000000065</v>
      </c>
    </row>
    <row r="17" spans="1:7" s="27" customFormat="1" x14ac:dyDescent="0.3">
      <c r="A17" s="26">
        <v>45940</v>
      </c>
      <c r="B17" s="21" t="s">
        <v>13</v>
      </c>
      <c r="C17" s="9">
        <v>0.63749999999999996</v>
      </c>
      <c r="D17" s="9">
        <v>0.94791666666666696</v>
      </c>
      <c r="E17" s="23">
        <f t="shared" si="0"/>
        <v>447.00000000000051</v>
      </c>
      <c r="F17" s="24">
        <f t="shared" si="2"/>
        <v>0.31041666666666701</v>
      </c>
      <c r="G17" s="25">
        <f t="shared" si="1"/>
        <v>5215.0149000000065</v>
      </c>
    </row>
    <row r="18" spans="1:7" s="27" customFormat="1" x14ac:dyDescent="0.3">
      <c r="A18" s="18">
        <v>45941</v>
      </c>
      <c r="B18" s="10" t="s">
        <v>14</v>
      </c>
      <c r="C18" s="13"/>
      <c r="D18" s="13"/>
      <c r="E18" s="11" t="str">
        <f t="shared" si="0"/>
        <v/>
      </c>
      <c r="F18" s="16" t="str">
        <f t="shared" si="2"/>
        <v/>
      </c>
      <c r="G18" s="12" t="str">
        <f t="shared" si="1"/>
        <v/>
      </c>
    </row>
    <row r="19" spans="1:7" s="27" customFormat="1" x14ac:dyDescent="0.3">
      <c r="A19" s="18">
        <v>45942</v>
      </c>
      <c r="B19" s="10" t="s">
        <v>15</v>
      </c>
      <c r="C19" s="13"/>
      <c r="D19" s="13"/>
      <c r="E19" s="11" t="str">
        <f t="shared" si="0"/>
        <v/>
      </c>
      <c r="F19" s="16" t="str">
        <f t="shared" si="2"/>
        <v/>
      </c>
      <c r="G19" s="12" t="str">
        <f t="shared" si="1"/>
        <v/>
      </c>
    </row>
    <row r="20" spans="1:7" s="27" customFormat="1" x14ac:dyDescent="0.3">
      <c r="A20" s="26">
        <v>45943</v>
      </c>
      <c r="B20" s="21" t="s">
        <v>16</v>
      </c>
      <c r="C20" s="9">
        <v>0.63749999999999996</v>
      </c>
      <c r="D20" s="9">
        <v>0.94791666666666696</v>
      </c>
      <c r="E20" s="23">
        <f t="shared" si="0"/>
        <v>447.00000000000051</v>
      </c>
      <c r="F20" s="24">
        <f t="shared" si="2"/>
        <v>0.31041666666666701</v>
      </c>
      <c r="G20" s="25">
        <f t="shared" si="1"/>
        <v>5215.0149000000065</v>
      </c>
    </row>
    <row r="21" spans="1:7" s="27" customFormat="1" x14ac:dyDescent="0.3">
      <c r="A21" s="26">
        <v>45944</v>
      </c>
      <c r="B21" s="21" t="s">
        <v>17</v>
      </c>
      <c r="C21" s="9">
        <v>0.63749999999999996</v>
      </c>
      <c r="D21" s="9">
        <v>0.94791666666666696</v>
      </c>
      <c r="E21" s="23">
        <f t="shared" si="0"/>
        <v>447.00000000000051</v>
      </c>
      <c r="F21" s="24">
        <f t="shared" si="2"/>
        <v>0.31041666666666701</v>
      </c>
      <c r="G21" s="25">
        <f t="shared" si="1"/>
        <v>5215.0149000000065</v>
      </c>
    </row>
    <row r="22" spans="1:7" s="27" customFormat="1" x14ac:dyDescent="0.3">
      <c r="A22" s="26">
        <v>45945</v>
      </c>
      <c r="B22" s="21" t="s">
        <v>11</v>
      </c>
      <c r="C22" s="9">
        <v>0.63749999999999996</v>
      </c>
      <c r="D22" s="9">
        <v>0.94791666666666696</v>
      </c>
      <c r="E22" s="23">
        <f t="shared" si="0"/>
        <v>447.00000000000051</v>
      </c>
      <c r="F22" s="24">
        <f t="shared" si="2"/>
        <v>0.31041666666666701</v>
      </c>
      <c r="G22" s="25">
        <f t="shared" si="1"/>
        <v>5215.0149000000065</v>
      </c>
    </row>
    <row r="23" spans="1:7" s="27" customFormat="1" x14ac:dyDescent="0.3">
      <c r="A23" s="26">
        <v>45946</v>
      </c>
      <c r="B23" s="21" t="s">
        <v>12</v>
      </c>
      <c r="C23" s="9">
        <v>0.63749999999999996</v>
      </c>
      <c r="D23" s="9">
        <v>0.94791666666666696</v>
      </c>
      <c r="E23" s="23">
        <f t="shared" si="0"/>
        <v>447.00000000000051</v>
      </c>
      <c r="F23" s="24">
        <f t="shared" si="2"/>
        <v>0.31041666666666701</v>
      </c>
      <c r="G23" s="25">
        <f t="shared" si="1"/>
        <v>5215.0149000000065</v>
      </c>
    </row>
    <row r="24" spans="1:7" s="27" customFormat="1" x14ac:dyDescent="0.3">
      <c r="A24" s="26">
        <v>45947</v>
      </c>
      <c r="B24" s="21" t="s">
        <v>13</v>
      </c>
      <c r="C24" s="9">
        <v>0.63749999999999996</v>
      </c>
      <c r="D24" s="9">
        <v>0.94791666666666696</v>
      </c>
      <c r="E24" s="23">
        <f t="shared" si="0"/>
        <v>447.00000000000051</v>
      </c>
      <c r="F24" s="24">
        <f t="shared" si="2"/>
        <v>0.31041666666666701</v>
      </c>
      <c r="G24" s="25">
        <f t="shared" si="1"/>
        <v>5215.0149000000065</v>
      </c>
    </row>
    <row r="25" spans="1:7" s="27" customFormat="1" x14ac:dyDescent="0.3">
      <c r="A25" s="18">
        <v>45948</v>
      </c>
      <c r="B25" s="10" t="s">
        <v>14</v>
      </c>
      <c r="C25" s="13"/>
      <c r="D25" s="13"/>
      <c r="E25" s="11" t="str">
        <f t="shared" si="0"/>
        <v/>
      </c>
      <c r="F25" s="16" t="str">
        <f t="shared" si="2"/>
        <v/>
      </c>
      <c r="G25" s="12" t="str">
        <f t="shared" si="1"/>
        <v/>
      </c>
    </row>
    <row r="26" spans="1:7" s="27" customFormat="1" x14ac:dyDescent="0.3">
      <c r="A26" s="18">
        <v>45949</v>
      </c>
      <c r="B26" s="10" t="s">
        <v>15</v>
      </c>
      <c r="C26" s="13"/>
      <c r="D26" s="13"/>
      <c r="E26" s="11" t="str">
        <f t="shared" si="0"/>
        <v/>
      </c>
      <c r="F26" s="16" t="str">
        <f t="shared" si="2"/>
        <v/>
      </c>
      <c r="G26" s="12" t="str">
        <f t="shared" si="1"/>
        <v/>
      </c>
    </row>
    <row r="27" spans="1:7" s="27" customFormat="1" x14ac:dyDescent="0.3">
      <c r="A27" s="26">
        <v>45950</v>
      </c>
      <c r="B27" s="21" t="s">
        <v>16</v>
      </c>
      <c r="C27" s="9">
        <v>0.63749999999999996</v>
      </c>
      <c r="D27" s="9">
        <v>0.94791666666666696</v>
      </c>
      <c r="E27" s="23">
        <f t="shared" si="0"/>
        <v>447.00000000000051</v>
      </c>
      <c r="F27" s="24">
        <f t="shared" si="2"/>
        <v>0.31041666666666701</v>
      </c>
      <c r="G27" s="25">
        <f t="shared" si="1"/>
        <v>5215.0149000000065</v>
      </c>
    </row>
    <row r="28" spans="1:7" s="27" customFormat="1" x14ac:dyDescent="0.3">
      <c r="A28" s="26">
        <v>45951</v>
      </c>
      <c r="B28" s="21" t="s">
        <v>17</v>
      </c>
      <c r="C28" s="9">
        <v>0.63749999999999996</v>
      </c>
      <c r="D28" s="9">
        <v>0.94791666666666696</v>
      </c>
      <c r="E28" s="23">
        <f t="shared" si="0"/>
        <v>447.00000000000051</v>
      </c>
      <c r="F28" s="24">
        <f t="shared" si="2"/>
        <v>0.31041666666666701</v>
      </c>
      <c r="G28" s="25">
        <f t="shared" si="1"/>
        <v>5215.0149000000065</v>
      </c>
    </row>
    <row r="29" spans="1:7" s="27" customFormat="1" x14ac:dyDescent="0.3">
      <c r="A29" s="26">
        <v>45952</v>
      </c>
      <c r="B29" s="21" t="s">
        <v>11</v>
      </c>
      <c r="C29" s="9">
        <v>0.63749999999999996</v>
      </c>
      <c r="D29" s="9">
        <v>0.94791666666666696</v>
      </c>
      <c r="E29" s="23">
        <f t="shared" si="0"/>
        <v>447.00000000000051</v>
      </c>
      <c r="F29" s="24">
        <f t="shared" si="2"/>
        <v>0.31041666666666701</v>
      </c>
      <c r="G29" s="25">
        <f t="shared" si="1"/>
        <v>5215.0149000000065</v>
      </c>
    </row>
    <row r="30" spans="1:7" s="27" customFormat="1" x14ac:dyDescent="0.3">
      <c r="A30" s="26">
        <v>45953</v>
      </c>
      <c r="B30" s="21" t="s">
        <v>12</v>
      </c>
      <c r="C30" s="9">
        <v>0.63749999999999996</v>
      </c>
      <c r="D30" s="9">
        <v>0.94791666666666696</v>
      </c>
      <c r="E30" s="23">
        <f t="shared" si="0"/>
        <v>447.00000000000051</v>
      </c>
      <c r="F30" s="24">
        <f t="shared" si="2"/>
        <v>0.31041666666666701</v>
      </c>
      <c r="G30" s="25">
        <f t="shared" si="1"/>
        <v>5215.0149000000065</v>
      </c>
    </row>
    <row r="31" spans="1:7" s="27" customFormat="1" x14ac:dyDescent="0.3">
      <c r="A31" s="26">
        <v>45954</v>
      </c>
      <c r="B31" s="21" t="s">
        <v>13</v>
      </c>
      <c r="C31" s="9">
        <v>0.63749999999999996</v>
      </c>
      <c r="D31" s="9">
        <v>0.94791666666666696</v>
      </c>
      <c r="E31" s="23">
        <f t="shared" si="0"/>
        <v>447.00000000000051</v>
      </c>
      <c r="F31" s="24">
        <f t="shared" si="2"/>
        <v>0.31041666666666701</v>
      </c>
      <c r="G31" s="25">
        <f t="shared" si="1"/>
        <v>5215.0149000000065</v>
      </c>
    </row>
    <row r="32" spans="1:7" s="27" customFormat="1" x14ac:dyDescent="0.3">
      <c r="A32" s="18">
        <v>45955</v>
      </c>
      <c r="B32" s="10" t="s">
        <v>14</v>
      </c>
      <c r="C32" s="13"/>
      <c r="D32" s="13"/>
      <c r="E32" s="11" t="str">
        <f t="shared" si="0"/>
        <v/>
      </c>
      <c r="F32" s="16" t="str">
        <f t="shared" si="2"/>
        <v/>
      </c>
      <c r="G32" s="12" t="str">
        <f t="shared" si="1"/>
        <v/>
      </c>
    </row>
    <row r="33" spans="1:7" s="27" customFormat="1" x14ac:dyDescent="0.3">
      <c r="A33" s="18">
        <v>45956</v>
      </c>
      <c r="B33" s="10" t="s">
        <v>15</v>
      </c>
      <c r="C33" s="13"/>
      <c r="D33" s="13"/>
      <c r="E33" s="11" t="str">
        <f t="shared" si="0"/>
        <v/>
      </c>
      <c r="F33" s="16" t="str">
        <f t="shared" si="2"/>
        <v/>
      </c>
      <c r="G33" s="12" t="str">
        <f t="shared" si="1"/>
        <v/>
      </c>
    </row>
    <row r="34" spans="1:7" s="27" customFormat="1" x14ac:dyDescent="0.3">
      <c r="A34" s="26">
        <v>45957</v>
      </c>
      <c r="B34" s="21" t="s">
        <v>16</v>
      </c>
      <c r="C34" s="9">
        <v>0.63749999999999996</v>
      </c>
      <c r="D34" s="9">
        <v>0.94791666666666696</v>
      </c>
      <c r="E34" s="23">
        <f t="shared" si="0"/>
        <v>447.00000000000051</v>
      </c>
      <c r="F34" s="24">
        <f t="shared" si="2"/>
        <v>0.31041666666666701</v>
      </c>
      <c r="G34" s="25">
        <f t="shared" si="1"/>
        <v>5215.0149000000065</v>
      </c>
    </row>
    <row r="35" spans="1:7" s="27" customFormat="1" x14ac:dyDescent="0.3">
      <c r="A35" s="26">
        <v>45958</v>
      </c>
      <c r="B35" s="21" t="s">
        <v>17</v>
      </c>
      <c r="C35" s="9">
        <v>0.63749999999999996</v>
      </c>
      <c r="D35" s="9">
        <v>0.94791666666666696</v>
      </c>
      <c r="E35" s="23">
        <f t="shared" si="0"/>
        <v>447.00000000000051</v>
      </c>
      <c r="F35" s="24">
        <f t="shared" si="2"/>
        <v>0.31041666666666701</v>
      </c>
      <c r="G35" s="25">
        <f t="shared" si="1"/>
        <v>5215.0149000000065</v>
      </c>
    </row>
    <row r="36" spans="1:7" x14ac:dyDescent="0.3">
      <c r="A36" s="26">
        <v>45959</v>
      </c>
      <c r="B36" s="21" t="s">
        <v>11</v>
      </c>
      <c r="C36" s="9">
        <v>0.63749999999999996</v>
      </c>
      <c r="D36" s="9">
        <v>0.94791666666666696</v>
      </c>
      <c r="E36" s="3">
        <f t="shared" si="0"/>
        <v>447.00000000000051</v>
      </c>
      <c r="F36" s="15">
        <f t="shared" si="2"/>
        <v>0.31041666666666701</v>
      </c>
      <c r="G36" s="4">
        <f t="shared" si="1"/>
        <v>5215.0149000000065</v>
      </c>
    </row>
    <row r="37" spans="1:7" x14ac:dyDescent="0.3">
      <c r="A37" s="26">
        <v>45960</v>
      </c>
      <c r="B37" s="21" t="s">
        <v>12</v>
      </c>
      <c r="C37" s="9">
        <v>0.63749999999999996</v>
      </c>
      <c r="D37" s="9">
        <v>0.94791666666666696</v>
      </c>
      <c r="E37" s="3">
        <f t="shared" si="0"/>
        <v>447.00000000000051</v>
      </c>
      <c r="F37" s="15">
        <f t="shared" si="2"/>
        <v>0.31041666666666701</v>
      </c>
      <c r="G37" s="4">
        <f t="shared" si="1"/>
        <v>5215.0149000000065</v>
      </c>
    </row>
    <row r="38" spans="1:7" ht="15" thickBot="1" x14ac:dyDescent="0.35">
      <c r="A38" s="26">
        <v>45961</v>
      </c>
      <c r="B38" s="21" t="s">
        <v>13</v>
      </c>
      <c r="C38" s="9">
        <v>0.49236111111111108</v>
      </c>
      <c r="D38" s="9">
        <v>0.94791666666666696</v>
      </c>
      <c r="E38" s="3">
        <f t="shared" ref="E38" si="3">IF(AND(C38&lt;&gt;"",D38&lt;&gt;""),IF(D38&gt;=C38,(D38-C38)*24*60,(D38-C38+1)*24*60),"")</f>
        <v>656.00000000000045</v>
      </c>
      <c r="F38" s="15">
        <f t="shared" ref="F38" si="4">IF(E38="", "", E38/1440)</f>
        <v>0.45555555555555588</v>
      </c>
      <c r="G38" s="4">
        <f t="shared" ref="G38" si="5">IF(E38&lt;&gt;"",E38*11.6667,"")</f>
        <v>7653.3552000000054</v>
      </c>
    </row>
    <row r="39" spans="1:7" ht="15" thickBot="1" x14ac:dyDescent="0.35">
      <c r="D39" s="5" t="s">
        <v>18</v>
      </c>
      <c r="E39" s="28">
        <f>SUM(E7:E38)</f>
        <v>10262.000000000011</v>
      </c>
      <c r="F39" s="29"/>
      <c r="G39" s="30">
        <f>SUM(G7:G38)</f>
        <v>119723.67540000017</v>
      </c>
    </row>
    <row r="40" spans="1:7" ht="15" thickBot="1" x14ac:dyDescent="0.35">
      <c r="D40" s="5" t="s">
        <v>19</v>
      </c>
      <c r="E40" s="31">
        <f>E39/60</f>
        <v>171.0333333333335</v>
      </c>
      <c r="F40" s="14"/>
    </row>
  </sheetData>
  <mergeCells count="5">
    <mergeCell ref="A1:G1"/>
    <mergeCell ref="A2:G2"/>
    <mergeCell ref="A3:G3"/>
    <mergeCell ref="A4:G4"/>
    <mergeCell ref="A5:G5"/>
  </mergeCells>
  <phoneticPr fontId="5" type="noConversion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0A1A6-7825-4508-AF83-7E1DEFFB1402}">
  <dimension ref="A1:G39"/>
  <sheetViews>
    <sheetView workbookViewId="0">
      <pane ySplit="7" topLeftCell="A23" activePane="bottomLeft" state="frozen"/>
      <selection pane="bottomLeft" activeCell="C24" sqref="C24:D24"/>
    </sheetView>
  </sheetViews>
  <sheetFormatPr defaultRowHeight="14.4" x14ac:dyDescent="0.3"/>
  <cols>
    <col min="1" max="1" width="12" style="32" customWidth="1"/>
    <col min="2" max="2" width="15" style="32" customWidth="1"/>
    <col min="3" max="3" width="19.5546875" style="32" customWidth="1"/>
    <col min="4" max="4" width="28.44140625" style="32" customWidth="1"/>
    <col min="5" max="6" width="30.109375" style="32" customWidth="1"/>
    <col min="7" max="7" width="19.88671875" style="32" customWidth="1"/>
    <col min="8" max="16384" width="8.88671875" style="32"/>
  </cols>
  <sheetData>
    <row r="1" spans="1:7" x14ac:dyDescent="0.3">
      <c r="A1" s="39" t="s">
        <v>0</v>
      </c>
      <c r="B1" s="40"/>
      <c r="C1" s="40"/>
      <c r="D1" s="40"/>
      <c r="E1" s="40"/>
      <c r="F1" s="40"/>
      <c r="G1" s="40"/>
    </row>
    <row r="2" spans="1:7" x14ac:dyDescent="0.3">
      <c r="A2" s="39" t="s">
        <v>1</v>
      </c>
      <c r="B2" s="40"/>
      <c r="C2" s="40"/>
      <c r="D2" s="40"/>
      <c r="E2" s="40"/>
      <c r="F2" s="40"/>
      <c r="G2" s="40"/>
    </row>
    <row r="3" spans="1:7" x14ac:dyDescent="0.3">
      <c r="A3" s="39" t="s">
        <v>2</v>
      </c>
      <c r="B3" s="40"/>
      <c r="C3" s="40"/>
      <c r="D3" s="40"/>
      <c r="E3" s="40"/>
      <c r="F3" s="40"/>
      <c r="G3" s="40"/>
    </row>
    <row r="4" spans="1:7" x14ac:dyDescent="0.3">
      <c r="A4" s="39" t="s">
        <v>3</v>
      </c>
      <c r="B4" s="40"/>
      <c r="C4" s="40"/>
      <c r="D4" s="40"/>
      <c r="E4" s="40"/>
      <c r="F4" s="40"/>
      <c r="G4" s="40"/>
    </row>
    <row r="5" spans="1:7" x14ac:dyDescent="0.3">
      <c r="A5" s="39" t="s">
        <v>4</v>
      </c>
      <c r="B5" s="40"/>
      <c r="C5" s="40"/>
      <c r="D5" s="40"/>
      <c r="E5" s="40"/>
      <c r="F5" s="40"/>
      <c r="G5" s="40"/>
    </row>
    <row r="7" spans="1:7" ht="15.6" x14ac:dyDescent="0.3">
      <c r="A7" s="1" t="s">
        <v>5</v>
      </c>
      <c r="B7" s="1" t="s">
        <v>6</v>
      </c>
      <c r="C7" s="1" t="s">
        <v>7</v>
      </c>
      <c r="D7" s="1" t="s">
        <v>8</v>
      </c>
      <c r="E7" s="1" t="s">
        <v>9</v>
      </c>
      <c r="F7" s="1" t="s">
        <v>81</v>
      </c>
      <c r="G7" s="1" t="s">
        <v>10</v>
      </c>
    </row>
    <row r="8" spans="1:7" x14ac:dyDescent="0.3">
      <c r="A8" s="18">
        <v>45962</v>
      </c>
      <c r="B8" s="10" t="s">
        <v>14</v>
      </c>
      <c r="C8" s="13"/>
      <c r="D8" s="13"/>
      <c r="E8" s="11" t="str">
        <f t="shared" ref="E8:E37" si="0">IF(AND(C8&lt;&gt;"",D8&lt;&gt;""),IF(D8&gt;=C8,(D8-C8)*24*60,(D8-C8+1)*24*60),"")</f>
        <v/>
      </c>
      <c r="F8" s="16" t="str">
        <f>IF(E8="", "", E8/1440)</f>
        <v/>
      </c>
      <c r="G8" s="12" t="str">
        <f t="shared" ref="G8:G37" si="1">IF(E8&lt;&gt;"",E8*11.6667,"")</f>
        <v/>
      </c>
    </row>
    <row r="9" spans="1:7" s="27" customFormat="1" x14ac:dyDescent="0.3">
      <c r="A9" s="18">
        <v>45963</v>
      </c>
      <c r="B9" s="10" t="s">
        <v>15</v>
      </c>
      <c r="C9" s="10"/>
      <c r="D9" s="10"/>
      <c r="E9" s="11" t="str">
        <f t="shared" si="0"/>
        <v/>
      </c>
      <c r="F9" s="16" t="str">
        <f t="shared" ref="F9:F37" si="2">IF(E9="", "", E9/1440)</f>
        <v/>
      </c>
      <c r="G9" s="12" t="str">
        <f t="shared" si="1"/>
        <v/>
      </c>
    </row>
    <row r="10" spans="1:7" s="27" customFormat="1" x14ac:dyDescent="0.3">
      <c r="A10" s="26">
        <v>45964</v>
      </c>
      <c r="B10" s="21" t="s">
        <v>16</v>
      </c>
      <c r="C10" s="9">
        <v>0.63749999999999996</v>
      </c>
      <c r="D10" s="9">
        <v>0.94791666666666696</v>
      </c>
      <c r="E10" s="23">
        <f t="shared" si="0"/>
        <v>447.00000000000051</v>
      </c>
      <c r="F10" s="24">
        <f t="shared" si="2"/>
        <v>0.31041666666666701</v>
      </c>
      <c r="G10" s="25">
        <f t="shared" si="1"/>
        <v>5215.0149000000065</v>
      </c>
    </row>
    <row r="11" spans="1:7" s="27" customFormat="1" x14ac:dyDescent="0.3">
      <c r="A11" s="26">
        <v>45965</v>
      </c>
      <c r="B11" s="21" t="s">
        <v>17</v>
      </c>
      <c r="C11" s="9">
        <v>0.63749999999999996</v>
      </c>
      <c r="D11" s="9">
        <v>0.94791666666666696</v>
      </c>
      <c r="E11" s="23">
        <f t="shared" si="0"/>
        <v>447.00000000000051</v>
      </c>
      <c r="F11" s="24">
        <f t="shared" si="2"/>
        <v>0.31041666666666701</v>
      </c>
      <c r="G11" s="25">
        <f t="shared" si="1"/>
        <v>5215.0149000000065</v>
      </c>
    </row>
    <row r="12" spans="1:7" s="27" customFormat="1" x14ac:dyDescent="0.3">
      <c r="A12" s="26">
        <v>45966</v>
      </c>
      <c r="B12" s="21" t="s">
        <v>11</v>
      </c>
      <c r="C12" s="9">
        <v>0.63749999999999996</v>
      </c>
      <c r="D12" s="9">
        <v>0.94791666666666696</v>
      </c>
      <c r="E12" s="23">
        <f t="shared" si="0"/>
        <v>447.00000000000051</v>
      </c>
      <c r="F12" s="24">
        <f t="shared" si="2"/>
        <v>0.31041666666666701</v>
      </c>
      <c r="G12" s="25">
        <f t="shared" si="1"/>
        <v>5215.0149000000065</v>
      </c>
    </row>
    <row r="13" spans="1:7" s="27" customFormat="1" x14ac:dyDescent="0.3">
      <c r="A13" s="26">
        <v>45967</v>
      </c>
      <c r="B13" s="21" t="s">
        <v>12</v>
      </c>
      <c r="C13" s="9">
        <v>0.63749999999999996</v>
      </c>
      <c r="D13" s="9">
        <v>0.94791666666666696</v>
      </c>
      <c r="E13" s="23">
        <f t="shared" si="0"/>
        <v>447.00000000000051</v>
      </c>
      <c r="F13" s="24">
        <f t="shared" si="2"/>
        <v>0.31041666666666701</v>
      </c>
      <c r="G13" s="25">
        <f t="shared" si="1"/>
        <v>5215.0149000000065</v>
      </c>
    </row>
    <row r="14" spans="1:7" s="27" customFormat="1" x14ac:dyDescent="0.3">
      <c r="A14" s="26">
        <v>45968</v>
      </c>
      <c r="B14" s="21" t="s">
        <v>13</v>
      </c>
      <c r="C14" s="9">
        <v>0.63749999999999996</v>
      </c>
      <c r="D14" s="9">
        <v>0.94791666666666696</v>
      </c>
      <c r="E14" s="23">
        <f t="shared" si="0"/>
        <v>447.00000000000051</v>
      </c>
      <c r="F14" s="24">
        <f t="shared" si="2"/>
        <v>0.31041666666666701</v>
      </c>
      <c r="G14" s="25">
        <f t="shared" si="1"/>
        <v>5215.0149000000065</v>
      </c>
    </row>
    <row r="15" spans="1:7" s="27" customFormat="1" x14ac:dyDescent="0.3">
      <c r="A15" s="18">
        <v>45969</v>
      </c>
      <c r="B15" s="10" t="s">
        <v>14</v>
      </c>
      <c r="C15" s="13"/>
      <c r="D15" s="13"/>
      <c r="E15" s="11" t="str">
        <f t="shared" si="0"/>
        <v/>
      </c>
      <c r="F15" s="16" t="str">
        <f t="shared" si="2"/>
        <v/>
      </c>
      <c r="G15" s="12" t="str">
        <f t="shared" si="1"/>
        <v/>
      </c>
    </row>
    <row r="16" spans="1:7" s="27" customFormat="1" x14ac:dyDescent="0.3">
      <c r="A16" s="18">
        <v>45970</v>
      </c>
      <c r="B16" s="10" t="s">
        <v>15</v>
      </c>
      <c r="C16" s="13"/>
      <c r="D16" s="13"/>
      <c r="E16" s="11" t="str">
        <f t="shared" si="0"/>
        <v/>
      </c>
      <c r="F16" s="16" t="str">
        <f t="shared" si="2"/>
        <v/>
      </c>
      <c r="G16" s="12" t="str">
        <f t="shared" si="1"/>
        <v/>
      </c>
    </row>
    <row r="17" spans="1:7" s="27" customFormat="1" x14ac:dyDescent="0.3">
      <c r="A17" s="26">
        <v>45971</v>
      </c>
      <c r="B17" s="21" t="s">
        <v>16</v>
      </c>
      <c r="C17" s="9">
        <v>0.63749999999999996</v>
      </c>
      <c r="D17" s="9">
        <v>0.94791666666666696</v>
      </c>
      <c r="E17" s="23">
        <f t="shared" si="0"/>
        <v>447.00000000000051</v>
      </c>
      <c r="F17" s="24">
        <f t="shared" si="2"/>
        <v>0.31041666666666701</v>
      </c>
      <c r="G17" s="25">
        <f t="shared" si="1"/>
        <v>5215.0149000000065</v>
      </c>
    </row>
    <row r="18" spans="1:7" s="27" customFormat="1" x14ac:dyDescent="0.3">
      <c r="A18" s="18">
        <v>45972</v>
      </c>
      <c r="B18" s="10" t="s">
        <v>17</v>
      </c>
      <c r="C18" s="13"/>
      <c r="D18" s="13"/>
      <c r="E18" s="11" t="str">
        <f t="shared" si="0"/>
        <v/>
      </c>
      <c r="F18" s="16" t="str">
        <f t="shared" si="2"/>
        <v/>
      </c>
      <c r="G18" s="12" t="str">
        <f t="shared" si="1"/>
        <v/>
      </c>
    </row>
    <row r="19" spans="1:7" s="27" customFormat="1" x14ac:dyDescent="0.3">
      <c r="A19" s="26">
        <v>45973</v>
      </c>
      <c r="B19" s="21" t="s">
        <v>11</v>
      </c>
      <c r="C19" s="9">
        <v>0.63749999999999996</v>
      </c>
      <c r="D19" s="9">
        <v>0.94791666666666696</v>
      </c>
      <c r="E19" s="23">
        <f t="shared" si="0"/>
        <v>447.00000000000051</v>
      </c>
      <c r="F19" s="24">
        <f t="shared" si="2"/>
        <v>0.31041666666666701</v>
      </c>
      <c r="G19" s="25">
        <f t="shared" si="1"/>
        <v>5215.0149000000065</v>
      </c>
    </row>
    <row r="20" spans="1:7" s="27" customFormat="1" x14ac:dyDescent="0.3">
      <c r="A20" s="26">
        <v>45974</v>
      </c>
      <c r="B20" s="21" t="s">
        <v>12</v>
      </c>
      <c r="C20" s="9">
        <v>0.63749999999999996</v>
      </c>
      <c r="D20" s="9">
        <v>0.94791666666666696</v>
      </c>
      <c r="E20" s="23">
        <f t="shared" si="0"/>
        <v>447.00000000000051</v>
      </c>
      <c r="F20" s="24">
        <f t="shared" si="2"/>
        <v>0.31041666666666701</v>
      </c>
      <c r="G20" s="25">
        <f t="shared" si="1"/>
        <v>5215.0149000000065</v>
      </c>
    </row>
    <row r="21" spans="1:7" s="27" customFormat="1" x14ac:dyDescent="0.3">
      <c r="A21" s="26">
        <v>45975</v>
      </c>
      <c r="B21" s="21" t="s">
        <v>13</v>
      </c>
      <c r="C21" s="9">
        <v>0.63749999999999996</v>
      </c>
      <c r="D21" s="9">
        <v>0.94791666666666696</v>
      </c>
      <c r="E21" s="23">
        <f t="shared" si="0"/>
        <v>447.00000000000051</v>
      </c>
      <c r="F21" s="24">
        <f t="shared" si="2"/>
        <v>0.31041666666666701</v>
      </c>
      <c r="G21" s="25">
        <f t="shared" si="1"/>
        <v>5215.0149000000065</v>
      </c>
    </row>
    <row r="22" spans="1:7" s="27" customFormat="1" x14ac:dyDescent="0.3">
      <c r="A22" s="18">
        <v>45976</v>
      </c>
      <c r="B22" s="10" t="s">
        <v>14</v>
      </c>
      <c r="C22" s="13"/>
      <c r="D22" s="13"/>
      <c r="E22" s="11" t="str">
        <f t="shared" si="0"/>
        <v/>
      </c>
      <c r="F22" s="16" t="str">
        <f t="shared" si="2"/>
        <v/>
      </c>
      <c r="G22" s="12" t="str">
        <f t="shared" si="1"/>
        <v/>
      </c>
    </row>
    <row r="23" spans="1:7" s="27" customFormat="1" x14ac:dyDescent="0.3">
      <c r="A23" s="18">
        <v>45977</v>
      </c>
      <c r="B23" s="10" t="s">
        <v>15</v>
      </c>
      <c r="C23" s="13"/>
      <c r="D23" s="13"/>
      <c r="E23" s="11" t="str">
        <f t="shared" si="0"/>
        <v/>
      </c>
      <c r="F23" s="16" t="str">
        <f t="shared" si="2"/>
        <v/>
      </c>
      <c r="G23" s="12" t="str">
        <f t="shared" si="1"/>
        <v/>
      </c>
    </row>
    <row r="24" spans="1:7" s="27" customFormat="1" x14ac:dyDescent="0.3">
      <c r="A24" s="26">
        <v>45978</v>
      </c>
      <c r="B24" s="21" t="s">
        <v>16</v>
      </c>
      <c r="C24" s="9">
        <v>0.63749999999999996</v>
      </c>
      <c r="D24" s="9">
        <v>0.94791666666666696</v>
      </c>
      <c r="E24" s="23">
        <f t="shared" si="0"/>
        <v>447.00000000000051</v>
      </c>
      <c r="F24" s="24">
        <f t="shared" si="2"/>
        <v>0.31041666666666701</v>
      </c>
      <c r="G24" s="25">
        <f t="shared" si="1"/>
        <v>5215.0149000000065</v>
      </c>
    </row>
    <row r="25" spans="1:7" s="27" customFormat="1" x14ac:dyDescent="0.3">
      <c r="A25" s="26">
        <v>45979</v>
      </c>
      <c r="B25" s="21" t="s">
        <v>17</v>
      </c>
      <c r="C25" s="9">
        <v>0.63749999999999996</v>
      </c>
      <c r="D25" s="9">
        <v>0.94791666666666696</v>
      </c>
      <c r="E25" s="23">
        <f t="shared" si="0"/>
        <v>447.00000000000051</v>
      </c>
      <c r="F25" s="24">
        <f t="shared" si="2"/>
        <v>0.31041666666666701</v>
      </c>
      <c r="G25" s="25">
        <f t="shared" si="1"/>
        <v>5215.0149000000065</v>
      </c>
    </row>
    <row r="26" spans="1:7" s="27" customFormat="1" x14ac:dyDescent="0.3">
      <c r="A26" s="26">
        <v>45980</v>
      </c>
      <c r="B26" s="21" t="s">
        <v>11</v>
      </c>
      <c r="C26" s="9">
        <v>0.63749999999999996</v>
      </c>
      <c r="D26" s="9">
        <v>0.94791666666666696</v>
      </c>
      <c r="E26" s="23">
        <f t="shared" si="0"/>
        <v>447.00000000000051</v>
      </c>
      <c r="F26" s="24">
        <f t="shared" si="2"/>
        <v>0.31041666666666701</v>
      </c>
      <c r="G26" s="25">
        <f t="shared" si="1"/>
        <v>5215.0149000000065</v>
      </c>
    </row>
    <row r="27" spans="1:7" s="27" customFormat="1" x14ac:dyDescent="0.3">
      <c r="A27" s="26">
        <v>45981</v>
      </c>
      <c r="B27" s="21" t="s">
        <v>12</v>
      </c>
      <c r="C27" s="9">
        <v>0.63749999999999996</v>
      </c>
      <c r="D27" s="9">
        <v>0.94791666666666696</v>
      </c>
      <c r="E27" s="23">
        <f t="shared" si="0"/>
        <v>447.00000000000051</v>
      </c>
      <c r="F27" s="24">
        <f t="shared" si="2"/>
        <v>0.31041666666666701</v>
      </c>
      <c r="G27" s="25">
        <f t="shared" si="1"/>
        <v>5215.0149000000065</v>
      </c>
    </row>
    <row r="28" spans="1:7" s="27" customFormat="1" x14ac:dyDescent="0.3">
      <c r="A28" s="26">
        <v>45982</v>
      </c>
      <c r="B28" s="21" t="s">
        <v>13</v>
      </c>
      <c r="C28" s="9">
        <v>0.49236111111111108</v>
      </c>
      <c r="D28" s="9">
        <v>0.94791666666666696</v>
      </c>
      <c r="E28" s="23">
        <f t="shared" si="0"/>
        <v>656.00000000000045</v>
      </c>
      <c r="F28" s="24">
        <f t="shared" si="2"/>
        <v>0.45555555555555588</v>
      </c>
      <c r="G28" s="25">
        <f t="shared" si="1"/>
        <v>7653.3552000000054</v>
      </c>
    </row>
    <row r="29" spans="1:7" s="27" customFormat="1" x14ac:dyDescent="0.3">
      <c r="A29" s="18">
        <v>45983</v>
      </c>
      <c r="B29" s="10" t="s">
        <v>14</v>
      </c>
      <c r="C29" s="13"/>
      <c r="D29" s="13"/>
      <c r="E29" s="11" t="str">
        <f t="shared" si="0"/>
        <v/>
      </c>
      <c r="F29" s="16" t="str">
        <f t="shared" si="2"/>
        <v/>
      </c>
      <c r="G29" s="12" t="str">
        <f t="shared" si="1"/>
        <v/>
      </c>
    </row>
    <row r="30" spans="1:7" s="27" customFormat="1" x14ac:dyDescent="0.3">
      <c r="A30" s="18">
        <v>45984</v>
      </c>
      <c r="B30" s="10" t="s">
        <v>15</v>
      </c>
      <c r="C30" s="13"/>
      <c r="D30" s="13"/>
      <c r="E30" s="11" t="str">
        <f t="shared" si="0"/>
        <v/>
      </c>
      <c r="F30" s="16" t="str">
        <f t="shared" si="2"/>
        <v/>
      </c>
      <c r="G30" s="12" t="str">
        <f t="shared" si="1"/>
        <v/>
      </c>
    </row>
    <row r="31" spans="1:7" s="27" customFormat="1" x14ac:dyDescent="0.3">
      <c r="A31" s="26">
        <v>45985</v>
      </c>
      <c r="B31" s="21" t="s">
        <v>16</v>
      </c>
      <c r="C31" s="9">
        <v>0.63749999999999996</v>
      </c>
      <c r="D31" s="9">
        <v>0.94791666666666696</v>
      </c>
      <c r="E31" s="23">
        <f t="shared" si="0"/>
        <v>447.00000000000051</v>
      </c>
      <c r="F31" s="24">
        <f t="shared" si="2"/>
        <v>0.31041666666666701</v>
      </c>
      <c r="G31" s="25">
        <f t="shared" si="1"/>
        <v>5215.0149000000065</v>
      </c>
    </row>
    <row r="32" spans="1:7" s="27" customFormat="1" x14ac:dyDescent="0.3">
      <c r="A32" s="26">
        <v>45986</v>
      </c>
      <c r="B32" s="21" t="s">
        <v>17</v>
      </c>
      <c r="C32" s="9">
        <v>0.63749999999999996</v>
      </c>
      <c r="D32" s="9">
        <v>0.94791666666666696</v>
      </c>
      <c r="E32" s="23">
        <f t="shared" si="0"/>
        <v>447.00000000000051</v>
      </c>
      <c r="F32" s="24">
        <f t="shared" si="2"/>
        <v>0.31041666666666701</v>
      </c>
      <c r="G32" s="25">
        <f t="shared" si="1"/>
        <v>5215.0149000000065</v>
      </c>
    </row>
    <row r="33" spans="1:7" s="27" customFormat="1" x14ac:dyDescent="0.3">
      <c r="A33" s="26">
        <v>45987</v>
      </c>
      <c r="B33" s="21" t="s">
        <v>11</v>
      </c>
      <c r="C33" s="9">
        <v>0.63749999999999996</v>
      </c>
      <c r="D33" s="9">
        <v>0.94791666666666696</v>
      </c>
      <c r="E33" s="23">
        <f t="shared" si="0"/>
        <v>447.00000000000051</v>
      </c>
      <c r="F33" s="24">
        <f t="shared" si="2"/>
        <v>0.31041666666666701</v>
      </c>
      <c r="G33" s="25">
        <f t="shared" si="1"/>
        <v>5215.0149000000065</v>
      </c>
    </row>
    <row r="34" spans="1:7" s="27" customFormat="1" x14ac:dyDescent="0.3">
      <c r="A34" s="26">
        <v>45988</v>
      </c>
      <c r="B34" s="21" t="s">
        <v>12</v>
      </c>
      <c r="C34" s="9">
        <v>0.63749999999999996</v>
      </c>
      <c r="D34" s="9">
        <v>0.94791666666666696</v>
      </c>
      <c r="E34" s="23">
        <f t="shared" si="0"/>
        <v>447.00000000000051</v>
      </c>
      <c r="F34" s="24">
        <f t="shared" si="2"/>
        <v>0.31041666666666701</v>
      </c>
      <c r="G34" s="25">
        <f t="shared" si="1"/>
        <v>5215.0149000000065</v>
      </c>
    </row>
    <row r="35" spans="1:7" s="27" customFormat="1" x14ac:dyDescent="0.3">
      <c r="A35" s="26">
        <v>45989</v>
      </c>
      <c r="B35" s="21" t="s">
        <v>13</v>
      </c>
      <c r="C35" s="9">
        <v>0.63749999999999996</v>
      </c>
      <c r="D35" s="9">
        <v>0.94791666666666696</v>
      </c>
      <c r="E35" s="23">
        <f t="shared" si="0"/>
        <v>447.00000000000051</v>
      </c>
      <c r="F35" s="24">
        <f t="shared" si="2"/>
        <v>0.31041666666666701</v>
      </c>
      <c r="G35" s="25">
        <f t="shared" si="1"/>
        <v>5215.0149000000065</v>
      </c>
    </row>
    <row r="36" spans="1:7" x14ac:dyDescent="0.3">
      <c r="A36" s="18">
        <v>45990</v>
      </c>
      <c r="B36" s="10" t="s">
        <v>14</v>
      </c>
      <c r="C36" s="13"/>
      <c r="D36" s="13"/>
      <c r="E36" s="11" t="str">
        <f t="shared" si="0"/>
        <v/>
      </c>
      <c r="F36" s="16" t="str">
        <f t="shared" si="2"/>
        <v/>
      </c>
      <c r="G36" s="12" t="str">
        <f t="shared" si="1"/>
        <v/>
      </c>
    </row>
    <row r="37" spans="1:7" ht="15" thickBot="1" x14ac:dyDescent="0.35">
      <c r="A37" s="18">
        <v>45991</v>
      </c>
      <c r="B37" s="10" t="s">
        <v>15</v>
      </c>
      <c r="C37" s="13"/>
      <c r="D37" s="13"/>
      <c r="E37" s="11" t="str">
        <f t="shared" si="0"/>
        <v/>
      </c>
      <c r="F37" s="16" t="str">
        <f t="shared" si="2"/>
        <v/>
      </c>
      <c r="G37" s="12" t="str">
        <f t="shared" si="1"/>
        <v/>
      </c>
    </row>
    <row r="38" spans="1:7" ht="15" thickBot="1" x14ac:dyDescent="0.35">
      <c r="D38" s="5" t="s">
        <v>18</v>
      </c>
      <c r="E38" s="28">
        <f>SUM(E7:E37)</f>
        <v>8702.0000000000127</v>
      </c>
      <c r="F38" s="29"/>
      <c r="G38" s="30">
        <f>SUM(G7:G37)</f>
        <v>101523.62340000014</v>
      </c>
    </row>
    <row r="39" spans="1:7" ht="15" thickBot="1" x14ac:dyDescent="0.35">
      <c r="D39" s="5" t="s">
        <v>19</v>
      </c>
      <c r="E39" s="31">
        <f>E38/60</f>
        <v>145.03333333333356</v>
      </c>
      <c r="F39" s="14"/>
    </row>
  </sheetData>
  <mergeCells count="5">
    <mergeCell ref="A1:G1"/>
    <mergeCell ref="A2:G2"/>
    <mergeCell ref="A3:G3"/>
    <mergeCell ref="A4:G4"/>
    <mergeCell ref="A5:G5"/>
  </mergeCells>
  <phoneticPr fontId="5" type="noConversion"/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79937-0999-4378-A8B9-6E73AD32C828}">
  <dimension ref="A1:G40"/>
  <sheetViews>
    <sheetView workbookViewId="0">
      <pane ySplit="7" topLeftCell="A8" activePane="bottomLeft" state="frozen"/>
      <selection pane="bottomLeft" activeCell="C12" sqref="C12:D12"/>
    </sheetView>
  </sheetViews>
  <sheetFormatPr defaultRowHeight="14.4" x14ac:dyDescent="0.3"/>
  <cols>
    <col min="1" max="1" width="12" style="32" customWidth="1"/>
    <col min="2" max="2" width="15" style="32" customWidth="1"/>
    <col min="3" max="3" width="19.5546875" style="32" customWidth="1"/>
    <col min="4" max="4" width="28.44140625" style="32" customWidth="1"/>
    <col min="5" max="6" width="30.109375" style="32" customWidth="1"/>
    <col min="7" max="7" width="19.88671875" style="32" customWidth="1"/>
    <col min="8" max="16384" width="8.88671875" style="32"/>
  </cols>
  <sheetData>
    <row r="1" spans="1:7" x14ac:dyDescent="0.3">
      <c r="A1" s="39" t="s">
        <v>0</v>
      </c>
      <c r="B1" s="40"/>
      <c r="C1" s="40"/>
      <c r="D1" s="40"/>
      <c r="E1" s="40"/>
      <c r="F1" s="40"/>
      <c r="G1" s="40"/>
    </row>
    <row r="2" spans="1:7" x14ac:dyDescent="0.3">
      <c r="A2" s="39" t="s">
        <v>1</v>
      </c>
      <c r="B2" s="40"/>
      <c r="C2" s="40"/>
      <c r="D2" s="40"/>
      <c r="E2" s="40"/>
      <c r="F2" s="40"/>
      <c r="G2" s="40"/>
    </row>
    <row r="3" spans="1:7" x14ac:dyDescent="0.3">
      <c r="A3" s="39" t="s">
        <v>2</v>
      </c>
      <c r="B3" s="40"/>
      <c r="C3" s="40"/>
      <c r="D3" s="40"/>
      <c r="E3" s="40"/>
      <c r="F3" s="40"/>
      <c r="G3" s="40"/>
    </row>
    <row r="4" spans="1:7" x14ac:dyDescent="0.3">
      <c r="A4" s="39" t="s">
        <v>3</v>
      </c>
      <c r="B4" s="40"/>
      <c r="C4" s="40"/>
      <c r="D4" s="40"/>
      <c r="E4" s="40"/>
      <c r="F4" s="40"/>
      <c r="G4" s="40"/>
    </row>
    <row r="5" spans="1:7" x14ac:dyDescent="0.3">
      <c r="A5" s="39" t="s">
        <v>4</v>
      </c>
      <c r="B5" s="40"/>
      <c r="C5" s="40"/>
      <c r="D5" s="40"/>
      <c r="E5" s="40"/>
      <c r="F5" s="40"/>
      <c r="G5" s="40"/>
    </row>
    <row r="7" spans="1:7" ht="15.6" x14ac:dyDescent="0.3">
      <c r="A7" s="1" t="s">
        <v>5</v>
      </c>
      <c r="B7" s="1" t="s">
        <v>6</v>
      </c>
      <c r="C7" s="1" t="s">
        <v>7</v>
      </c>
      <c r="D7" s="1" t="s">
        <v>8</v>
      </c>
      <c r="E7" s="1" t="s">
        <v>9</v>
      </c>
      <c r="F7" s="1" t="s">
        <v>81</v>
      </c>
      <c r="G7" s="1" t="s">
        <v>10</v>
      </c>
    </row>
    <row r="8" spans="1:7" x14ac:dyDescent="0.3">
      <c r="A8" s="26">
        <v>45992</v>
      </c>
      <c r="B8" s="21" t="s">
        <v>16</v>
      </c>
      <c r="C8" s="9">
        <v>0.63749999999999996</v>
      </c>
      <c r="D8" s="9">
        <v>0.94791666666666696</v>
      </c>
      <c r="E8" s="3">
        <f t="shared" ref="E8:E37" si="0">IF(AND(C8&lt;&gt;"",D8&lt;&gt;""),IF(D8&gt;=C8,(D8-C8)*24*60,(D8-C8+1)*24*60),"")</f>
        <v>447.00000000000051</v>
      </c>
      <c r="F8" s="15">
        <f>IF(E8="", "", E8/1440)</f>
        <v>0.31041666666666701</v>
      </c>
      <c r="G8" s="4">
        <f t="shared" ref="G8:G37" si="1">IF(E8&lt;&gt;"",E8*11.6667,"")</f>
        <v>5215.0149000000065</v>
      </c>
    </row>
    <row r="9" spans="1:7" s="27" customFormat="1" x14ac:dyDescent="0.3">
      <c r="A9" s="26">
        <v>45993</v>
      </c>
      <c r="B9" s="21" t="s">
        <v>17</v>
      </c>
      <c r="C9" s="9">
        <v>0.63749999999999996</v>
      </c>
      <c r="D9" s="9">
        <v>0.94791666666666696</v>
      </c>
      <c r="E9" s="23">
        <f t="shared" si="0"/>
        <v>447.00000000000051</v>
      </c>
      <c r="F9" s="24">
        <f t="shared" ref="F9:F38" si="2">IF(E9="", "", E9/1440)</f>
        <v>0.31041666666666701</v>
      </c>
      <c r="G9" s="25">
        <f t="shared" si="1"/>
        <v>5215.0149000000065</v>
      </c>
    </row>
    <row r="10" spans="1:7" s="27" customFormat="1" x14ac:dyDescent="0.3">
      <c r="A10" s="26">
        <v>45994</v>
      </c>
      <c r="B10" s="21" t="s">
        <v>11</v>
      </c>
      <c r="C10" s="9">
        <v>0.63749999999999996</v>
      </c>
      <c r="D10" s="9">
        <v>0.94791666666666696</v>
      </c>
      <c r="E10" s="23">
        <f t="shared" si="0"/>
        <v>447.00000000000051</v>
      </c>
      <c r="F10" s="24">
        <f t="shared" si="2"/>
        <v>0.31041666666666701</v>
      </c>
      <c r="G10" s="25">
        <f t="shared" si="1"/>
        <v>5215.0149000000065</v>
      </c>
    </row>
    <row r="11" spans="1:7" s="27" customFormat="1" x14ac:dyDescent="0.3">
      <c r="A11" s="26">
        <v>45995</v>
      </c>
      <c r="B11" s="21" t="s">
        <v>12</v>
      </c>
      <c r="C11" s="9">
        <v>0.63749999999999996</v>
      </c>
      <c r="D11" s="9">
        <v>0.94791666666666696</v>
      </c>
      <c r="E11" s="23">
        <f t="shared" si="0"/>
        <v>447.00000000000051</v>
      </c>
      <c r="F11" s="24">
        <f t="shared" si="2"/>
        <v>0.31041666666666701</v>
      </c>
      <c r="G11" s="25">
        <f t="shared" si="1"/>
        <v>5215.0149000000065</v>
      </c>
    </row>
    <row r="12" spans="1:7" s="27" customFormat="1" x14ac:dyDescent="0.3">
      <c r="A12" s="26">
        <v>45996</v>
      </c>
      <c r="B12" s="21" t="s">
        <v>13</v>
      </c>
      <c r="C12" s="9">
        <v>0.6875</v>
      </c>
      <c r="D12" s="9">
        <v>0.94791666666666696</v>
      </c>
      <c r="E12" s="23">
        <f t="shared" si="0"/>
        <v>375.00000000000045</v>
      </c>
      <c r="F12" s="24">
        <f t="shared" si="2"/>
        <v>0.26041666666666696</v>
      </c>
      <c r="G12" s="25">
        <f t="shared" si="1"/>
        <v>4375.0125000000053</v>
      </c>
    </row>
    <row r="13" spans="1:7" s="27" customFormat="1" x14ac:dyDescent="0.3">
      <c r="A13" s="18">
        <v>45997</v>
      </c>
      <c r="B13" s="10" t="s">
        <v>14</v>
      </c>
      <c r="C13" s="13"/>
      <c r="D13" s="13"/>
      <c r="E13" s="11" t="str">
        <f t="shared" si="0"/>
        <v/>
      </c>
      <c r="F13" s="16" t="str">
        <f t="shared" si="2"/>
        <v/>
      </c>
      <c r="G13" s="12" t="str">
        <f t="shared" si="1"/>
        <v/>
      </c>
    </row>
    <row r="14" spans="1:7" s="27" customFormat="1" x14ac:dyDescent="0.3">
      <c r="A14" s="18">
        <v>45998</v>
      </c>
      <c r="B14" s="10" t="s">
        <v>15</v>
      </c>
      <c r="C14" s="13"/>
      <c r="D14" s="13"/>
      <c r="E14" s="11" t="str">
        <f t="shared" si="0"/>
        <v/>
      </c>
      <c r="F14" s="16" t="str">
        <f t="shared" si="2"/>
        <v/>
      </c>
      <c r="G14" s="12" t="str">
        <f t="shared" si="1"/>
        <v/>
      </c>
    </row>
    <row r="15" spans="1:7" s="27" customFormat="1" x14ac:dyDescent="0.3">
      <c r="A15" s="18">
        <v>45999</v>
      </c>
      <c r="B15" s="10" t="s">
        <v>16</v>
      </c>
      <c r="C15" s="13"/>
      <c r="D15" s="13"/>
      <c r="E15" s="11" t="str">
        <f t="shared" si="0"/>
        <v/>
      </c>
      <c r="F15" s="16" t="str">
        <f t="shared" si="2"/>
        <v/>
      </c>
      <c r="G15" s="12" t="str">
        <f t="shared" si="1"/>
        <v/>
      </c>
    </row>
    <row r="16" spans="1:7" s="27" customFormat="1" x14ac:dyDescent="0.3">
      <c r="A16" s="18">
        <v>46000</v>
      </c>
      <c r="B16" s="10" t="s">
        <v>17</v>
      </c>
      <c r="C16" s="13"/>
      <c r="D16" s="13"/>
      <c r="E16" s="11" t="str">
        <f t="shared" si="0"/>
        <v/>
      </c>
      <c r="F16" s="16" t="str">
        <f t="shared" si="2"/>
        <v/>
      </c>
      <c r="G16" s="12" t="str">
        <f t="shared" si="1"/>
        <v/>
      </c>
    </row>
    <row r="17" spans="1:7" s="27" customFormat="1" x14ac:dyDescent="0.3">
      <c r="A17" s="18">
        <v>46001</v>
      </c>
      <c r="B17" s="10" t="s">
        <v>11</v>
      </c>
      <c r="C17" s="13"/>
      <c r="D17" s="13"/>
      <c r="E17" s="11" t="str">
        <f t="shared" si="0"/>
        <v/>
      </c>
      <c r="F17" s="16" t="str">
        <f t="shared" si="2"/>
        <v/>
      </c>
      <c r="G17" s="12" t="str">
        <f t="shared" si="1"/>
        <v/>
      </c>
    </row>
    <row r="18" spans="1:7" s="27" customFormat="1" x14ac:dyDescent="0.3">
      <c r="A18" s="18">
        <v>46002</v>
      </c>
      <c r="B18" s="10" t="s">
        <v>12</v>
      </c>
      <c r="C18" s="13"/>
      <c r="D18" s="13"/>
      <c r="E18" s="11" t="str">
        <f t="shared" si="0"/>
        <v/>
      </c>
      <c r="F18" s="16" t="str">
        <f t="shared" si="2"/>
        <v/>
      </c>
      <c r="G18" s="12" t="str">
        <f t="shared" si="1"/>
        <v/>
      </c>
    </row>
    <row r="19" spans="1:7" s="27" customFormat="1" x14ac:dyDescent="0.3">
      <c r="A19" s="18">
        <v>46003</v>
      </c>
      <c r="B19" s="10" t="s">
        <v>13</v>
      </c>
      <c r="C19" s="13"/>
      <c r="D19" s="13"/>
      <c r="E19" s="11" t="str">
        <f t="shared" si="0"/>
        <v/>
      </c>
      <c r="F19" s="16" t="str">
        <f t="shared" si="2"/>
        <v/>
      </c>
      <c r="G19" s="12" t="str">
        <f t="shared" si="1"/>
        <v/>
      </c>
    </row>
    <row r="20" spans="1:7" s="27" customFormat="1" x14ac:dyDescent="0.3">
      <c r="A20" s="18">
        <v>46004</v>
      </c>
      <c r="B20" s="10" t="s">
        <v>14</v>
      </c>
      <c r="C20" s="13"/>
      <c r="D20" s="13"/>
      <c r="E20" s="11" t="str">
        <f t="shared" si="0"/>
        <v/>
      </c>
      <c r="F20" s="16" t="str">
        <f t="shared" si="2"/>
        <v/>
      </c>
      <c r="G20" s="12" t="str">
        <f t="shared" si="1"/>
        <v/>
      </c>
    </row>
    <row r="21" spans="1:7" s="27" customFormat="1" x14ac:dyDescent="0.3">
      <c r="A21" s="18">
        <v>46005</v>
      </c>
      <c r="B21" s="10" t="s">
        <v>15</v>
      </c>
      <c r="C21" s="13"/>
      <c r="D21" s="13"/>
      <c r="E21" s="11" t="str">
        <f t="shared" si="0"/>
        <v/>
      </c>
      <c r="F21" s="16" t="str">
        <f t="shared" si="2"/>
        <v/>
      </c>
      <c r="G21" s="12" t="str">
        <f t="shared" si="1"/>
        <v/>
      </c>
    </row>
    <row r="22" spans="1:7" s="27" customFormat="1" x14ac:dyDescent="0.3">
      <c r="A22" s="18">
        <v>46006</v>
      </c>
      <c r="B22" s="10" t="s">
        <v>16</v>
      </c>
      <c r="C22" s="13"/>
      <c r="D22" s="13"/>
      <c r="E22" s="11" t="str">
        <f t="shared" si="0"/>
        <v/>
      </c>
      <c r="F22" s="16" t="str">
        <f t="shared" si="2"/>
        <v/>
      </c>
      <c r="G22" s="12" t="str">
        <f t="shared" si="1"/>
        <v/>
      </c>
    </row>
    <row r="23" spans="1:7" s="27" customFormat="1" x14ac:dyDescent="0.3">
      <c r="A23" s="18">
        <v>46007</v>
      </c>
      <c r="B23" s="10" t="s">
        <v>17</v>
      </c>
      <c r="C23" s="13"/>
      <c r="D23" s="13"/>
      <c r="E23" s="11" t="str">
        <f t="shared" si="0"/>
        <v/>
      </c>
      <c r="F23" s="16" t="str">
        <f t="shared" si="2"/>
        <v/>
      </c>
      <c r="G23" s="12" t="str">
        <f t="shared" si="1"/>
        <v/>
      </c>
    </row>
    <row r="24" spans="1:7" s="27" customFormat="1" x14ac:dyDescent="0.3">
      <c r="A24" s="18">
        <v>46008</v>
      </c>
      <c r="B24" s="10" t="s">
        <v>11</v>
      </c>
      <c r="C24" s="13"/>
      <c r="D24" s="13"/>
      <c r="E24" s="11" t="str">
        <f t="shared" si="0"/>
        <v/>
      </c>
      <c r="F24" s="16" t="str">
        <f t="shared" si="2"/>
        <v/>
      </c>
      <c r="G24" s="12" t="str">
        <f t="shared" si="1"/>
        <v/>
      </c>
    </row>
    <row r="25" spans="1:7" s="27" customFormat="1" x14ac:dyDescent="0.3">
      <c r="A25" s="18">
        <v>46009</v>
      </c>
      <c r="B25" s="10" t="s">
        <v>12</v>
      </c>
      <c r="C25" s="13"/>
      <c r="D25" s="13"/>
      <c r="E25" s="11" t="str">
        <f t="shared" si="0"/>
        <v/>
      </c>
      <c r="F25" s="16" t="str">
        <f t="shared" si="2"/>
        <v/>
      </c>
      <c r="G25" s="12" t="str">
        <f t="shared" si="1"/>
        <v/>
      </c>
    </row>
    <row r="26" spans="1:7" s="27" customFormat="1" x14ac:dyDescent="0.3">
      <c r="A26" s="18">
        <v>46010</v>
      </c>
      <c r="B26" s="10" t="s">
        <v>13</v>
      </c>
      <c r="C26" s="13"/>
      <c r="D26" s="13"/>
      <c r="E26" s="11" t="str">
        <f t="shared" si="0"/>
        <v/>
      </c>
      <c r="F26" s="16" t="str">
        <f t="shared" si="2"/>
        <v/>
      </c>
      <c r="G26" s="12" t="str">
        <f t="shared" si="1"/>
        <v/>
      </c>
    </row>
    <row r="27" spans="1:7" s="27" customFormat="1" x14ac:dyDescent="0.3">
      <c r="A27" s="18">
        <v>46011</v>
      </c>
      <c r="B27" s="10" t="s">
        <v>14</v>
      </c>
      <c r="C27" s="13"/>
      <c r="D27" s="13"/>
      <c r="E27" s="11" t="str">
        <f t="shared" si="0"/>
        <v/>
      </c>
      <c r="F27" s="16" t="str">
        <f t="shared" si="2"/>
        <v/>
      </c>
      <c r="G27" s="12" t="str">
        <f t="shared" si="1"/>
        <v/>
      </c>
    </row>
    <row r="28" spans="1:7" s="27" customFormat="1" x14ac:dyDescent="0.3">
      <c r="A28" s="18">
        <v>46012</v>
      </c>
      <c r="B28" s="10" t="s">
        <v>15</v>
      </c>
      <c r="C28" s="13"/>
      <c r="D28" s="13"/>
      <c r="E28" s="11" t="str">
        <f t="shared" si="0"/>
        <v/>
      </c>
      <c r="F28" s="16" t="str">
        <f t="shared" si="2"/>
        <v/>
      </c>
      <c r="G28" s="12" t="str">
        <f t="shared" si="1"/>
        <v/>
      </c>
    </row>
    <row r="29" spans="1:7" s="27" customFormat="1" x14ac:dyDescent="0.3">
      <c r="A29" s="18">
        <v>46013</v>
      </c>
      <c r="B29" s="10" t="s">
        <v>16</v>
      </c>
      <c r="C29" s="13"/>
      <c r="D29" s="13"/>
      <c r="E29" s="11" t="str">
        <f t="shared" si="0"/>
        <v/>
      </c>
      <c r="F29" s="16" t="str">
        <f t="shared" si="2"/>
        <v/>
      </c>
      <c r="G29" s="12" t="str">
        <f t="shared" si="1"/>
        <v/>
      </c>
    </row>
    <row r="30" spans="1:7" s="27" customFormat="1" x14ac:dyDescent="0.3">
      <c r="A30" s="18">
        <v>46014</v>
      </c>
      <c r="B30" s="10" t="s">
        <v>17</v>
      </c>
      <c r="C30" s="13"/>
      <c r="D30" s="13"/>
      <c r="E30" s="11" t="str">
        <f t="shared" si="0"/>
        <v/>
      </c>
      <c r="F30" s="16" t="str">
        <f t="shared" si="2"/>
        <v/>
      </c>
      <c r="G30" s="12" t="str">
        <f t="shared" si="1"/>
        <v/>
      </c>
    </row>
    <row r="31" spans="1:7" s="27" customFormat="1" x14ac:dyDescent="0.3">
      <c r="A31" s="18">
        <v>46015</v>
      </c>
      <c r="B31" s="10" t="s">
        <v>11</v>
      </c>
      <c r="C31" s="13"/>
      <c r="D31" s="13"/>
      <c r="E31" s="11" t="str">
        <f t="shared" si="0"/>
        <v/>
      </c>
      <c r="F31" s="16" t="str">
        <f t="shared" si="2"/>
        <v/>
      </c>
      <c r="G31" s="12" t="str">
        <f t="shared" si="1"/>
        <v/>
      </c>
    </row>
    <row r="32" spans="1:7" s="27" customFormat="1" x14ac:dyDescent="0.3">
      <c r="A32" s="18">
        <v>46016</v>
      </c>
      <c r="B32" s="10" t="s">
        <v>12</v>
      </c>
      <c r="C32" s="13"/>
      <c r="D32" s="13"/>
      <c r="E32" s="11" t="str">
        <f t="shared" si="0"/>
        <v/>
      </c>
      <c r="F32" s="16" t="str">
        <f t="shared" si="2"/>
        <v/>
      </c>
      <c r="G32" s="12" t="str">
        <f t="shared" si="1"/>
        <v/>
      </c>
    </row>
    <row r="33" spans="1:7" s="27" customFormat="1" x14ac:dyDescent="0.3">
      <c r="A33" s="18">
        <v>46017</v>
      </c>
      <c r="B33" s="10" t="s">
        <v>13</v>
      </c>
      <c r="C33" s="13"/>
      <c r="D33" s="13"/>
      <c r="E33" s="11" t="str">
        <f t="shared" si="0"/>
        <v/>
      </c>
      <c r="F33" s="16" t="str">
        <f t="shared" si="2"/>
        <v/>
      </c>
      <c r="G33" s="12" t="str">
        <f t="shared" si="1"/>
        <v/>
      </c>
    </row>
    <row r="34" spans="1:7" s="27" customFormat="1" x14ac:dyDescent="0.3">
      <c r="A34" s="18">
        <v>46018</v>
      </c>
      <c r="B34" s="10" t="s">
        <v>14</v>
      </c>
      <c r="C34" s="13"/>
      <c r="D34" s="13"/>
      <c r="E34" s="11" t="str">
        <f t="shared" si="0"/>
        <v/>
      </c>
      <c r="F34" s="16" t="str">
        <f t="shared" si="2"/>
        <v/>
      </c>
      <c r="G34" s="12" t="str">
        <f t="shared" si="1"/>
        <v/>
      </c>
    </row>
    <row r="35" spans="1:7" s="27" customFormat="1" x14ac:dyDescent="0.3">
      <c r="A35" s="18">
        <v>46019</v>
      </c>
      <c r="B35" s="10" t="s">
        <v>15</v>
      </c>
      <c r="C35" s="13"/>
      <c r="D35" s="13"/>
      <c r="E35" s="11" t="str">
        <f t="shared" si="0"/>
        <v/>
      </c>
      <c r="F35" s="16" t="str">
        <f t="shared" si="2"/>
        <v/>
      </c>
      <c r="G35" s="12" t="str">
        <f t="shared" si="1"/>
        <v/>
      </c>
    </row>
    <row r="36" spans="1:7" x14ac:dyDescent="0.3">
      <c r="A36" s="18">
        <v>46020</v>
      </c>
      <c r="B36" s="10" t="s">
        <v>16</v>
      </c>
      <c r="C36" s="13"/>
      <c r="D36" s="13"/>
      <c r="E36" s="11" t="str">
        <f t="shared" si="0"/>
        <v/>
      </c>
      <c r="F36" s="16" t="str">
        <f t="shared" si="2"/>
        <v/>
      </c>
      <c r="G36" s="12" t="str">
        <f t="shared" si="1"/>
        <v/>
      </c>
    </row>
    <row r="37" spans="1:7" x14ac:dyDescent="0.3">
      <c r="A37" s="18">
        <v>46021</v>
      </c>
      <c r="B37" s="10" t="s">
        <v>17</v>
      </c>
      <c r="C37" s="13"/>
      <c r="D37" s="13"/>
      <c r="E37" s="11" t="str">
        <f t="shared" si="0"/>
        <v/>
      </c>
      <c r="F37" s="16" t="str">
        <f t="shared" si="2"/>
        <v/>
      </c>
      <c r="G37" s="12" t="str">
        <f t="shared" si="1"/>
        <v/>
      </c>
    </row>
    <row r="38" spans="1:7" ht="15" thickBot="1" x14ac:dyDescent="0.35">
      <c r="A38" s="18">
        <v>46022</v>
      </c>
      <c r="B38" s="10" t="s">
        <v>11</v>
      </c>
      <c r="C38" s="34"/>
      <c r="D38" s="34"/>
      <c r="E38" s="35"/>
      <c r="F38" s="36" t="str">
        <f t="shared" si="2"/>
        <v/>
      </c>
      <c r="G38" s="35"/>
    </row>
    <row r="39" spans="1:7" ht="15" thickBot="1" x14ac:dyDescent="0.35">
      <c r="D39" s="5" t="s">
        <v>18</v>
      </c>
      <c r="E39" s="28">
        <f>SUM(E7:E37)</f>
        <v>2163.0000000000027</v>
      </c>
      <c r="F39" s="29"/>
      <c r="G39" s="30">
        <f>SUM(G7:G37)</f>
        <v>25235.07210000003</v>
      </c>
    </row>
    <row r="40" spans="1:7" ht="15" thickBot="1" x14ac:dyDescent="0.35">
      <c r="D40" s="5" t="s">
        <v>19</v>
      </c>
      <c r="E40" s="31">
        <f>E39/60</f>
        <v>36.050000000000047</v>
      </c>
      <c r="F40" s="14"/>
    </row>
  </sheetData>
  <mergeCells count="5">
    <mergeCell ref="A1:G1"/>
    <mergeCell ref="A2:G2"/>
    <mergeCell ref="A3:G3"/>
    <mergeCell ref="A4:G4"/>
    <mergeCell ref="A5:G5"/>
  </mergeCells>
  <phoneticPr fontId="5" type="noConversion"/>
  <pageMargins left="0.75" right="0.75" top="1" bottom="1" header="0.5" footer="0.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CDD5A-7B17-475E-AA88-14C873B82C2D}">
  <dimension ref="A1:G40"/>
  <sheetViews>
    <sheetView tabSelected="1" workbookViewId="0">
      <pane ySplit="7" topLeftCell="A23" activePane="bottomLeft" state="frozen"/>
      <selection pane="bottomLeft" activeCell="C27" sqref="C27:D27"/>
    </sheetView>
  </sheetViews>
  <sheetFormatPr defaultRowHeight="14.4" x14ac:dyDescent="0.3"/>
  <cols>
    <col min="1" max="1" width="12" style="33" customWidth="1"/>
    <col min="2" max="2" width="15" style="33" customWidth="1"/>
    <col min="3" max="3" width="19.5546875" style="33" customWidth="1"/>
    <col min="4" max="4" width="28.44140625" style="33" customWidth="1"/>
    <col min="5" max="6" width="30.109375" style="33" customWidth="1"/>
    <col min="7" max="7" width="19.88671875" style="33" customWidth="1"/>
    <col min="8" max="16384" width="8.88671875" style="33"/>
  </cols>
  <sheetData>
    <row r="1" spans="1:7" x14ac:dyDescent="0.3">
      <c r="A1" s="39" t="s">
        <v>0</v>
      </c>
      <c r="B1" s="40"/>
      <c r="C1" s="40"/>
      <c r="D1" s="40"/>
      <c r="E1" s="40"/>
      <c r="F1" s="40"/>
      <c r="G1" s="40"/>
    </row>
    <row r="2" spans="1:7" x14ac:dyDescent="0.3">
      <c r="A2" s="39" t="s">
        <v>1</v>
      </c>
      <c r="B2" s="40"/>
      <c r="C2" s="40"/>
      <c r="D2" s="40"/>
      <c r="E2" s="40"/>
      <c r="F2" s="40"/>
      <c r="G2" s="40"/>
    </row>
    <row r="3" spans="1:7" x14ac:dyDescent="0.3">
      <c r="A3" s="39" t="s">
        <v>2</v>
      </c>
      <c r="B3" s="40"/>
      <c r="C3" s="40"/>
      <c r="D3" s="40"/>
      <c r="E3" s="40"/>
      <c r="F3" s="40"/>
      <c r="G3" s="40"/>
    </row>
    <row r="4" spans="1:7" x14ac:dyDescent="0.3">
      <c r="A4" s="39" t="s">
        <v>3</v>
      </c>
      <c r="B4" s="40"/>
      <c r="C4" s="40"/>
      <c r="D4" s="40"/>
      <c r="E4" s="40"/>
      <c r="F4" s="40"/>
      <c r="G4" s="40"/>
    </row>
    <row r="5" spans="1:7" x14ac:dyDescent="0.3">
      <c r="A5" s="39" t="s">
        <v>4</v>
      </c>
      <c r="B5" s="40"/>
      <c r="C5" s="40"/>
      <c r="D5" s="40"/>
      <c r="E5" s="40"/>
      <c r="F5" s="40"/>
      <c r="G5" s="40"/>
    </row>
    <row r="7" spans="1:7" ht="15.6" x14ac:dyDescent="0.3">
      <c r="A7" s="1" t="s">
        <v>5</v>
      </c>
      <c r="B7" s="1" t="s">
        <v>6</v>
      </c>
      <c r="C7" s="1" t="s">
        <v>7</v>
      </c>
      <c r="D7" s="1" t="s">
        <v>8</v>
      </c>
      <c r="E7" s="1" t="s">
        <v>9</v>
      </c>
      <c r="F7" s="1" t="s">
        <v>81</v>
      </c>
      <c r="G7" s="1" t="s">
        <v>10</v>
      </c>
    </row>
    <row r="8" spans="1:7" x14ac:dyDescent="0.3">
      <c r="A8" s="18">
        <v>46204</v>
      </c>
      <c r="B8" s="10" t="s">
        <v>11</v>
      </c>
      <c r="C8" s="13"/>
      <c r="D8" s="13"/>
      <c r="E8" s="11"/>
      <c r="F8" s="16"/>
      <c r="G8" s="12"/>
    </row>
    <row r="9" spans="1:7" s="27" customFormat="1" x14ac:dyDescent="0.3">
      <c r="A9" s="18">
        <v>46205</v>
      </c>
      <c r="B9" s="10" t="s">
        <v>12</v>
      </c>
      <c r="C9" s="13"/>
      <c r="D9" s="13"/>
      <c r="E9" s="11"/>
      <c r="F9" s="16"/>
      <c r="G9" s="12"/>
    </row>
    <row r="10" spans="1:7" s="27" customFormat="1" x14ac:dyDescent="0.3">
      <c r="A10" s="18">
        <v>46206</v>
      </c>
      <c r="B10" s="10" t="s">
        <v>13</v>
      </c>
      <c r="C10" s="13"/>
      <c r="D10" s="13"/>
      <c r="E10" s="11"/>
      <c r="F10" s="16"/>
      <c r="G10" s="12"/>
    </row>
    <row r="11" spans="1:7" s="27" customFormat="1" x14ac:dyDescent="0.3">
      <c r="A11" s="18">
        <v>46207</v>
      </c>
      <c r="B11" s="10" t="s">
        <v>14</v>
      </c>
      <c r="C11" s="13"/>
      <c r="D11" s="13"/>
      <c r="E11" s="11"/>
      <c r="F11" s="16"/>
      <c r="G11" s="12"/>
    </row>
    <row r="12" spans="1:7" s="27" customFormat="1" x14ac:dyDescent="0.3">
      <c r="A12" s="18">
        <v>46208</v>
      </c>
      <c r="B12" s="10" t="s">
        <v>15</v>
      </c>
      <c r="C12" s="13"/>
      <c r="D12" s="13"/>
      <c r="E12" s="11"/>
      <c r="F12" s="16"/>
      <c r="G12" s="12"/>
    </row>
    <row r="13" spans="1:7" s="27" customFormat="1" x14ac:dyDescent="0.3">
      <c r="A13" s="18">
        <v>46209</v>
      </c>
      <c r="B13" s="10" t="s">
        <v>16</v>
      </c>
      <c r="C13" s="13"/>
      <c r="D13" s="13"/>
      <c r="E13" s="11"/>
      <c r="F13" s="16"/>
      <c r="G13" s="12"/>
    </row>
    <row r="14" spans="1:7" s="27" customFormat="1" x14ac:dyDescent="0.3">
      <c r="A14" s="18">
        <v>46210</v>
      </c>
      <c r="B14" s="10" t="s">
        <v>17</v>
      </c>
      <c r="C14" s="13"/>
      <c r="D14" s="13"/>
      <c r="E14" s="11"/>
      <c r="F14" s="16"/>
      <c r="G14" s="12"/>
    </row>
    <row r="15" spans="1:7" s="27" customFormat="1" x14ac:dyDescent="0.3">
      <c r="A15" s="26">
        <v>46211</v>
      </c>
      <c r="B15" s="21" t="s">
        <v>11</v>
      </c>
      <c r="C15" s="9">
        <v>0.4368055555555555</v>
      </c>
      <c r="D15" s="9">
        <v>0.75486111111111109</v>
      </c>
      <c r="E15" s="3">
        <f t="shared" ref="E15" si="0">IF(AND(C15&lt;&gt;"",D15&lt;&gt;""),IF(D15&gt;=C15,(D15-C15)*24*60,(D15-C15+1)*24*60),"")</f>
        <v>458.00000000000006</v>
      </c>
      <c r="F15" s="15">
        <f>IF(E15="", "", E15/1440)</f>
        <v>0.31805555555555559</v>
      </c>
      <c r="G15" s="4">
        <f t="shared" ref="G15" si="1">IF(E15&lt;&gt;"",E15*11.6667,"")</f>
        <v>5343.3486000000012</v>
      </c>
    </row>
    <row r="16" spans="1:7" s="27" customFormat="1" x14ac:dyDescent="0.3">
      <c r="A16" s="26">
        <v>46212</v>
      </c>
      <c r="B16" s="21" t="s">
        <v>12</v>
      </c>
      <c r="C16" s="9">
        <v>0.4368055555555555</v>
      </c>
      <c r="D16" s="9">
        <v>0.75486111111111109</v>
      </c>
      <c r="E16" s="3">
        <f t="shared" ref="E16:E38" si="2">IF(AND(C16&lt;&gt;"",D16&lt;&gt;""),IF(D16&gt;=C16,(D16-C16)*24*60,(D16-C16+1)*24*60),"")</f>
        <v>458.00000000000006</v>
      </c>
      <c r="F16" s="15">
        <f t="shared" ref="F16:F38" si="3">IF(E16="", "", E16/1440)</f>
        <v>0.31805555555555559</v>
      </c>
      <c r="G16" s="4">
        <f t="shared" ref="G16:G38" si="4">IF(E16&lt;&gt;"",E16*11.6667,"")</f>
        <v>5343.3486000000012</v>
      </c>
    </row>
    <row r="17" spans="1:7" s="27" customFormat="1" x14ac:dyDescent="0.3">
      <c r="A17" s="26">
        <v>46213</v>
      </c>
      <c r="B17" s="21" t="s">
        <v>13</v>
      </c>
      <c r="C17" s="9">
        <v>0.4368055555555555</v>
      </c>
      <c r="D17" s="9">
        <v>0.75486111111111109</v>
      </c>
      <c r="E17" s="3">
        <f t="shared" si="2"/>
        <v>458.00000000000006</v>
      </c>
      <c r="F17" s="15">
        <f t="shared" si="3"/>
        <v>0.31805555555555559</v>
      </c>
      <c r="G17" s="4">
        <f t="shared" si="4"/>
        <v>5343.3486000000012</v>
      </c>
    </row>
    <row r="18" spans="1:7" s="27" customFormat="1" x14ac:dyDescent="0.3">
      <c r="A18" s="26">
        <v>46214</v>
      </c>
      <c r="B18" s="21" t="s">
        <v>14</v>
      </c>
      <c r="C18" s="37">
        <v>0.51111111111111118</v>
      </c>
      <c r="D18" s="37">
        <v>0.82013888888888886</v>
      </c>
      <c r="E18" s="3">
        <f t="shared" si="2"/>
        <v>444.99999999999989</v>
      </c>
      <c r="F18" s="15">
        <f t="shared" si="3"/>
        <v>0.30902777777777768</v>
      </c>
      <c r="G18" s="4">
        <f t="shared" si="4"/>
        <v>5191.6814999999988</v>
      </c>
    </row>
    <row r="19" spans="1:7" s="27" customFormat="1" x14ac:dyDescent="0.3">
      <c r="A19" s="18">
        <v>46215</v>
      </c>
      <c r="B19" s="10" t="s">
        <v>15</v>
      </c>
      <c r="C19" s="13"/>
      <c r="D19" s="13"/>
      <c r="E19" s="11" t="str">
        <f t="shared" si="2"/>
        <v/>
      </c>
      <c r="F19" s="16" t="str">
        <f t="shared" si="3"/>
        <v/>
      </c>
      <c r="G19" s="12" t="str">
        <f t="shared" si="4"/>
        <v/>
      </c>
    </row>
    <row r="20" spans="1:7" s="27" customFormat="1" x14ac:dyDescent="0.3">
      <c r="A20" s="26">
        <v>46216</v>
      </c>
      <c r="B20" s="21" t="s">
        <v>16</v>
      </c>
      <c r="C20" s="37">
        <v>0.63888888888888895</v>
      </c>
      <c r="D20" s="37">
        <v>0.94791666666666663</v>
      </c>
      <c r="E20" s="3">
        <f t="shared" si="2"/>
        <v>444.99999999999989</v>
      </c>
      <c r="F20" s="15">
        <f t="shared" si="3"/>
        <v>0.30902777777777768</v>
      </c>
      <c r="G20" s="4">
        <f t="shared" si="4"/>
        <v>5191.6814999999988</v>
      </c>
    </row>
    <row r="21" spans="1:7" s="27" customFormat="1" x14ac:dyDescent="0.3">
      <c r="A21" s="26">
        <v>46217</v>
      </c>
      <c r="B21" s="21" t="s">
        <v>17</v>
      </c>
      <c r="C21" s="37">
        <v>0.63888888888888895</v>
      </c>
      <c r="D21" s="37">
        <v>0.94791666666666663</v>
      </c>
      <c r="E21" s="3">
        <f t="shared" si="2"/>
        <v>444.99999999999989</v>
      </c>
      <c r="F21" s="15">
        <f t="shared" si="3"/>
        <v>0.30902777777777768</v>
      </c>
      <c r="G21" s="4">
        <f t="shared" si="4"/>
        <v>5191.6814999999988</v>
      </c>
    </row>
    <row r="22" spans="1:7" s="27" customFormat="1" x14ac:dyDescent="0.3">
      <c r="A22" s="26">
        <v>46218</v>
      </c>
      <c r="B22" s="21" t="s">
        <v>11</v>
      </c>
      <c r="C22" s="37">
        <v>0.63888888888888895</v>
      </c>
      <c r="D22" s="37">
        <v>0.94791666666666663</v>
      </c>
      <c r="E22" s="3">
        <f t="shared" si="2"/>
        <v>444.99999999999989</v>
      </c>
      <c r="F22" s="15">
        <f t="shared" si="3"/>
        <v>0.30902777777777768</v>
      </c>
      <c r="G22" s="4">
        <f t="shared" si="4"/>
        <v>5191.6814999999988</v>
      </c>
    </row>
    <row r="23" spans="1:7" s="27" customFormat="1" x14ac:dyDescent="0.3">
      <c r="A23" s="26">
        <v>46219</v>
      </c>
      <c r="B23" s="21" t="s">
        <v>12</v>
      </c>
      <c r="C23" s="37">
        <v>0.63888888888888895</v>
      </c>
      <c r="D23" s="37">
        <v>0.94791666666666663</v>
      </c>
      <c r="E23" s="3">
        <f t="shared" si="2"/>
        <v>444.99999999999989</v>
      </c>
      <c r="F23" s="15">
        <f t="shared" si="3"/>
        <v>0.30902777777777768</v>
      </c>
      <c r="G23" s="4">
        <f t="shared" si="4"/>
        <v>5191.6814999999988</v>
      </c>
    </row>
    <row r="24" spans="1:7" s="27" customFormat="1" x14ac:dyDescent="0.3">
      <c r="A24" s="26">
        <v>46220</v>
      </c>
      <c r="B24" s="21" t="s">
        <v>13</v>
      </c>
      <c r="C24" s="37">
        <v>0.63888888888888895</v>
      </c>
      <c r="D24" s="37">
        <v>0.94791666666666663</v>
      </c>
      <c r="E24" s="3">
        <f t="shared" si="2"/>
        <v>444.99999999999989</v>
      </c>
      <c r="F24" s="15">
        <f t="shared" si="3"/>
        <v>0.30902777777777768</v>
      </c>
      <c r="G24" s="4">
        <f t="shared" si="4"/>
        <v>5191.6814999999988</v>
      </c>
    </row>
    <row r="25" spans="1:7" s="27" customFormat="1" x14ac:dyDescent="0.3">
      <c r="A25" s="26">
        <v>46221</v>
      </c>
      <c r="B25" s="21" t="s">
        <v>14</v>
      </c>
      <c r="C25" s="37">
        <v>0.57638888888888895</v>
      </c>
      <c r="D25" s="37">
        <v>0.8833333333333333</v>
      </c>
      <c r="E25" s="3">
        <f t="shared" si="2"/>
        <v>441.99999999999989</v>
      </c>
      <c r="F25" s="15">
        <f t="shared" si="3"/>
        <v>0.30694444444444435</v>
      </c>
      <c r="G25" s="4">
        <f t="shared" si="4"/>
        <v>5156.6813999999986</v>
      </c>
    </row>
    <row r="26" spans="1:7" s="27" customFormat="1" x14ac:dyDescent="0.3">
      <c r="A26" s="18">
        <v>46222</v>
      </c>
      <c r="B26" s="10" t="s">
        <v>15</v>
      </c>
      <c r="C26" s="13"/>
      <c r="D26" s="13"/>
      <c r="E26" s="11" t="str">
        <f t="shared" si="2"/>
        <v/>
      </c>
      <c r="F26" s="16" t="str">
        <f t="shared" si="3"/>
        <v/>
      </c>
      <c r="G26" s="12" t="str">
        <f t="shared" si="4"/>
        <v/>
      </c>
    </row>
    <row r="27" spans="1:7" s="27" customFormat="1" x14ac:dyDescent="0.3">
      <c r="A27" s="26">
        <v>46223</v>
      </c>
      <c r="B27" s="21" t="s">
        <v>16</v>
      </c>
      <c r="C27" s="37">
        <v>0.63888888888888895</v>
      </c>
      <c r="D27" s="37">
        <v>0.94791666666666663</v>
      </c>
      <c r="E27" s="3">
        <f t="shared" si="2"/>
        <v>444.99999999999989</v>
      </c>
      <c r="F27" s="15">
        <f t="shared" si="3"/>
        <v>0.30902777777777768</v>
      </c>
      <c r="G27" s="4">
        <f t="shared" si="4"/>
        <v>5191.6814999999988</v>
      </c>
    </row>
    <row r="28" spans="1:7" s="27" customFormat="1" x14ac:dyDescent="0.3">
      <c r="A28" s="26">
        <v>46224</v>
      </c>
      <c r="B28" s="21" t="s">
        <v>17</v>
      </c>
      <c r="C28" s="37"/>
      <c r="D28" s="37"/>
      <c r="E28" s="3" t="str">
        <f t="shared" si="2"/>
        <v/>
      </c>
      <c r="F28" s="15" t="str">
        <f t="shared" si="3"/>
        <v/>
      </c>
      <c r="G28" s="4" t="str">
        <f t="shared" si="4"/>
        <v/>
      </c>
    </row>
    <row r="29" spans="1:7" s="27" customFormat="1" x14ac:dyDescent="0.3">
      <c r="A29" s="26">
        <v>46225</v>
      </c>
      <c r="B29" s="21" t="s">
        <v>11</v>
      </c>
      <c r="C29" s="37"/>
      <c r="D29" s="37"/>
      <c r="E29" s="3" t="str">
        <f t="shared" si="2"/>
        <v/>
      </c>
      <c r="F29" s="15" t="str">
        <f t="shared" si="3"/>
        <v/>
      </c>
      <c r="G29" s="4" t="str">
        <f t="shared" si="4"/>
        <v/>
      </c>
    </row>
    <row r="30" spans="1:7" s="27" customFormat="1" x14ac:dyDescent="0.3">
      <c r="A30" s="26">
        <v>46226</v>
      </c>
      <c r="B30" s="21" t="s">
        <v>12</v>
      </c>
      <c r="C30" s="9"/>
      <c r="D30" s="9"/>
      <c r="E30" s="3" t="str">
        <f t="shared" si="2"/>
        <v/>
      </c>
      <c r="F30" s="15" t="str">
        <f t="shared" si="3"/>
        <v/>
      </c>
      <c r="G30" s="4" t="str">
        <f t="shared" si="4"/>
        <v/>
      </c>
    </row>
    <row r="31" spans="1:7" s="27" customFormat="1" x14ac:dyDescent="0.3">
      <c r="A31" s="26">
        <v>46227</v>
      </c>
      <c r="B31" s="21" t="s">
        <v>13</v>
      </c>
      <c r="C31" s="37"/>
      <c r="D31" s="37"/>
      <c r="E31" s="3" t="str">
        <f t="shared" si="2"/>
        <v/>
      </c>
      <c r="F31" s="15" t="str">
        <f t="shared" si="3"/>
        <v/>
      </c>
      <c r="G31" s="4" t="str">
        <f t="shared" si="4"/>
        <v/>
      </c>
    </row>
    <row r="32" spans="1:7" s="27" customFormat="1" x14ac:dyDescent="0.3">
      <c r="A32" s="26">
        <v>46228</v>
      </c>
      <c r="B32" s="21" t="s">
        <v>14</v>
      </c>
      <c r="C32" s="37"/>
      <c r="D32" s="37"/>
      <c r="E32" s="3" t="str">
        <f t="shared" si="2"/>
        <v/>
      </c>
      <c r="F32" s="15" t="str">
        <f t="shared" si="3"/>
        <v/>
      </c>
      <c r="G32" s="4" t="str">
        <f t="shared" si="4"/>
        <v/>
      </c>
    </row>
    <row r="33" spans="1:7" s="27" customFormat="1" x14ac:dyDescent="0.3">
      <c r="A33" s="26">
        <v>46229</v>
      </c>
      <c r="B33" s="21" t="s">
        <v>15</v>
      </c>
      <c r="C33" s="37"/>
      <c r="D33" s="37"/>
      <c r="E33" s="3" t="str">
        <f t="shared" si="2"/>
        <v/>
      </c>
      <c r="F33" s="15" t="str">
        <f t="shared" si="3"/>
        <v/>
      </c>
      <c r="G33" s="4" t="str">
        <f t="shared" si="4"/>
        <v/>
      </c>
    </row>
    <row r="34" spans="1:7" s="27" customFormat="1" x14ac:dyDescent="0.3">
      <c r="A34" s="26">
        <v>46230</v>
      </c>
      <c r="B34" s="21" t="s">
        <v>16</v>
      </c>
      <c r="C34" s="37"/>
      <c r="D34" s="37"/>
      <c r="E34" s="3" t="str">
        <f t="shared" si="2"/>
        <v/>
      </c>
      <c r="F34" s="15" t="str">
        <f t="shared" si="3"/>
        <v/>
      </c>
      <c r="G34" s="4" t="str">
        <f t="shared" si="4"/>
        <v/>
      </c>
    </row>
    <row r="35" spans="1:7" s="27" customFormat="1" x14ac:dyDescent="0.3">
      <c r="A35" s="26">
        <v>46231</v>
      </c>
      <c r="B35" s="21" t="s">
        <v>17</v>
      </c>
      <c r="C35" s="37"/>
      <c r="D35" s="37"/>
      <c r="E35" s="3" t="str">
        <f t="shared" si="2"/>
        <v/>
      </c>
      <c r="F35" s="15" t="str">
        <f t="shared" si="3"/>
        <v/>
      </c>
      <c r="G35" s="4" t="str">
        <f t="shared" si="4"/>
        <v/>
      </c>
    </row>
    <row r="36" spans="1:7" x14ac:dyDescent="0.3">
      <c r="A36" s="26">
        <v>46232</v>
      </c>
      <c r="B36" s="21" t="s">
        <v>11</v>
      </c>
      <c r="C36" s="37"/>
      <c r="D36" s="37"/>
      <c r="E36" s="3" t="str">
        <f t="shared" si="2"/>
        <v/>
      </c>
      <c r="F36" s="15" t="str">
        <f t="shared" si="3"/>
        <v/>
      </c>
      <c r="G36" s="4" t="str">
        <f t="shared" si="4"/>
        <v/>
      </c>
    </row>
    <row r="37" spans="1:7" x14ac:dyDescent="0.3">
      <c r="A37" s="26">
        <v>46233</v>
      </c>
      <c r="B37" s="21" t="s">
        <v>12</v>
      </c>
      <c r="C37" s="37"/>
      <c r="D37" s="37"/>
      <c r="E37" s="3" t="str">
        <f t="shared" si="2"/>
        <v/>
      </c>
      <c r="F37" s="15" t="str">
        <f t="shared" si="3"/>
        <v/>
      </c>
      <c r="G37" s="4" t="str">
        <f t="shared" si="4"/>
        <v/>
      </c>
    </row>
    <row r="38" spans="1:7" ht="15" thickBot="1" x14ac:dyDescent="0.35">
      <c r="A38" s="26">
        <v>46234</v>
      </c>
      <c r="B38" s="21" t="s">
        <v>13</v>
      </c>
      <c r="C38" s="38"/>
      <c r="D38" s="38"/>
      <c r="E38" s="3" t="str">
        <f t="shared" si="2"/>
        <v/>
      </c>
      <c r="F38" s="15" t="str">
        <f t="shared" si="3"/>
        <v/>
      </c>
      <c r="G38" s="4" t="str">
        <f t="shared" si="4"/>
        <v/>
      </c>
    </row>
    <row r="39" spans="1:7" ht="15" thickBot="1" x14ac:dyDescent="0.35">
      <c r="D39" s="5" t="s">
        <v>18</v>
      </c>
      <c r="E39" s="28">
        <f>SUM(E7:E37)</f>
        <v>4931</v>
      </c>
      <c r="F39" s="29"/>
      <c r="G39" s="30">
        <f>SUM(G7:G37)</f>
        <v>57528.4977</v>
      </c>
    </row>
    <row r="40" spans="1:7" ht="15" thickBot="1" x14ac:dyDescent="0.35">
      <c r="D40" s="5" t="s">
        <v>19</v>
      </c>
      <c r="E40" s="31">
        <f>E39/60</f>
        <v>82.183333333333337</v>
      </c>
      <c r="F40" s="14"/>
    </row>
  </sheetData>
  <mergeCells count="5">
    <mergeCell ref="A1:G1"/>
    <mergeCell ref="A2:G2"/>
    <mergeCell ref="A3:G3"/>
    <mergeCell ref="A4:G4"/>
    <mergeCell ref="A5:G5"/>
  </mergeCells>
  <phoneticPr fontId="5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Июль</vt:lpstr>
      <vt:lpstr>Август</vt:lpstr>
      <vt:lpstr>Сентябрь</vt:lpstr>
      <vt:lpstr>Октябрь</vt:lpstr>
      <vt:lpstr>Ноябрь</vt:lpstr>
      <vt:lpstr>Декабрь</vt:lpstr>
      <vt:lpstr>Июль 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Data Law</cp:lastModifiedBy>
  <dcterms:created xsi:type="dcterms:W3CDTF">2025-08-04T10:16:56Z</dcterms:created>
  <dcterms:modified xsi:type="dcterms:W3CDTF">2026-07-20T09:50:49Z</dcterms:modified>
</cp:coreProperties>
</file>